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37f45ff58bce13f/Desktop/SLOTS/02_作品/文档/"/>
    </mc:Choice>
  </mc:AlternateContent>
  <xr:revisionPtr revIDLastSave="19" documentId="11_268D7795E9465525F53E53A9CDCAF2BC120C7FBC" xr6:coauthVersionLast="47" xr6:coauthVersionMax="47" xr10:uidLastSave="{13C7F2AD-F820-403C-BCCF-D105EE81FE65}"/>
  <bookViews>
    <workbookView xWindow="-110" yWindow="-110" windowWidth="22620" windowHeight="13500" activeTab="2" xr2:uid="{00000000-000D-0000-FFFF-FFFF00000000}"/>
  </bookViews>
  <sheets>
    <sheet name="01_ParSheet" sheetId="1" r:id="rId1"/>
    <sheet name="02_RTP计算" sheetId="2" r:id="rId2"/>
    <sheet name="03_结果对比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3" l="1"/>
  <c r="D11" i="3"/>
  <c r="D10" i="3"/>
  <c r="D7" i="3"/>
  <c r="B50" i="2"/>
  <c r="B51" i="2" s="1"/>
  <c r="C43" i="2"/>
  <c r="B9" i="3" s="1"/>
  <c r="D38" i="2"/>
  <c r="C44" i="2" s="1"/>
  <c r="C9" i="3" s="1"/>
  <c r="D9" i="3" s="1"/>
  <c r="D37" i="2"/>
  <c r="D36" i="2"/>
  <c r="B31" i="2"/>
  <c r="B30" i="2"/>
  <c r="D24" i="2"/>
  <c r="C24" i="2"/>
  <c r="B24" i="2"/>
  <c r="E24" i="2" s="1"/>
  <c r="D23" i="2"/>
  <c r="E23" i="2" s="1"/>
  <c r="C23" i="2"/>
  <c r="B23" i="2"/>
  <c r="E22" i="2"/>
  <c r="D22" i="2"/>
  <c r="C22" i="2"/>
  <c r="B22" i="2"/>
  <c r="D21" i="2"/>
  <c r="C21" i="2"/>
  <c r="B21" i="2"/>
  <c r="E21" i="2" s="1"/>
  <c r="D20" i="2"/>
  <c r="C20" i="2"/>
  <c r="E20" i="2" s="1"/>
  <c r="B20" i="2"/>
  <c r="E19" i="2"/>
  <c r="D19" i="2"/>
  <c r="C19" i="2"/>
  <c r="B19" i="2"/>
  <c r="D18" i="2"/>
  <c r="D25" i="2" s="1"/>
  <c r="C18" i="2"/>
  <c r="C25" i="2" s="1"/>
  <c r="B18" i="2"/>
  <c r="E12" i="2"/>
  <c r="D12" i="2"/>
  <c r="C12" i="2"/>
  <c r="B12" i="2"/>
  <c r="E11" i="2"/>
  <c r="D11" i="2"/>
  <c r="C11" i="2"/>
  <c r="B11" i="2"/>
  <c r="D10" i="2"/>
  <c r="C10" i="2"/>
  <c r="B10" i="2"/>
  <c r="E10" i="2" s="1"/>
  <c r="D9" i="2"/>
  <c r="E9" i="2" s="1"/>
  <c r="C9" i="2"/>
  <c r="B9" i="2"/>
  <c r="E8" i="2"/>
  <c r="D8" i="2"/>
  <c r="C8" i="2"/>
  <c r="B8" i="2"/>
  <c r="D7" i="2"/>
  <c r="C7" i="2"/>
  <c r="B7" i="2"/>
  <c r="E7" i="2" s="1"/>
  <c r="D6" i="2"/>
  <c r="D13" i="2" s="1"/>
  <c r="C6" i="2"/>
  <c r="C13" i="2" s="1"/>
  <c r="B6" i="2"/>
  <c r="B57" i="2" l="1"/>
  <c r="C16" i="3"/>
  <c r="F31" i="2"/>
  <c r="E31" i="2"/>
  <c r="D31" i="2"/>
  <c r="G31" i="2" s="1"/>
  <c r="C31" i="2"/>
  <c r="F30" i="2"/>
  <c r="E30" i="2"/>
  <c r="D30" i="2"/>
  <c r="G30" i="2" s="1"/>
  <c r="C30" i="2"/>
  <c r="B25" i="2"/>
  <c r="E18" i="2"/>
  <c r="E25" i="2" s="1"/>
  <c r="B44" i="2" s="1"/>
  <c r="B13" i="2"/>
  <c r="E6" i="2"/>
  <c r="E13" i="2" s="1"/>
  <c r="B43" i="2" s="1"/>
  <c r="C15" i="3" l="1"/>
  <c r="B59" i="2"/>
  <c r="B58" i="2"/>
  <c r="C14" i="3"/>
  <c r="D44" i="2"/>
  <c r="C8" i="3"/>
  <c r="D8" i="3" s="1"/>
  <c r="D43" i="2"/>
  <c r="B6" i="3" s="1"/>
  <c r="B8" i="3"/>
  <c r="B56" i="2" l="1"/>
  <c r="C6" i="3"/>
  <c r="D6" i="3" s="1"/>
</calcChain>
</file>

<file path=xl/sharedStrings.xml><?xml version="1.0" encoding="utf-8"?>
<sst xmlns="http://schemas.openxmlformats.org/spreadsheetml/2006/main" count="228" uniqueCount="177">
  <si>
    <t>243 Ways Social Par Sheet</t>
  </si>
  <si>
    <t>优先级：U1</t>
  </si>
  <si>
    <t>版本定位</t>
  </si>
  <si>
    <t>项目</t>
  </si>
  <si>
    <t>v1</t>
  </si>
  <si>
    <t>v2</t>
  </si>
  <si>
    <t>定位</t>
  </si>
  <si>
    <t>纯 Base 低波动</t>
  </si>
  <si>
    <t>SC1 Respin + SC2 Free Spin</t>
  </si>
  <si>
    <t>自然 RTP 口径</t>
  </si>
  <si>
    <t>95.33%</t>
  </si>
  <si>
    <t>设计约 93.00%；1M 92.94%</t>
  </si>
  <si>
    <t>Max Win</t>
  </si>
  <si>
    <t>1000x</t>
  </si>
  <si>
    <t>5000x</t>
  </si>
  <si>
    <t>普通符号赔率</t>
  </si>
  <si>
    <t>符号</t>
  </si>
  <si>
    <t>v1 3连</t>
  </si>
  <si>
    <t>v1 4连</t>
  </si>
  <si>
    <t>v1 5连</t>
  </si>
  <si>
    <t>v2 3连</t>
  </si>
  <si>
    <t>v2 4连</t>
  </si>
  <si>
    <t>v2 5连</t>
  </si>
  <si>
    <t>K</t>
  </si>
  <si>
    <t>Q</t>
  </si>
  <si>
    <t>J</t>
  </si>
  <si>
    <t>10</t>
  </si>
  <si>
    <t>9</t>
  </si>
  <si>
    <t>8</t>
  </si>
  <si>
    <t>7</t>
  </si>
  <si>
    <t>Feature 配置</t>
  </si>
  <si>
    <t>机制</t>
  </si>
  <si>
    <t>触发</t>
  </si>
  <si>
    <t>规则</t>
  </si>
  <si>
    <t>备注</t>
  </si>
  <si>
    <t>SC1 Respin</t>
  </si>
  <si>
    <t>3+ SC1</t>
  </si>
  <si>
    <t>初始 3 次；SC1 粘住；新 SC1 续 1 次；最多 5 次</t>
  </si>
  <si>
    <t>SC2 在 Respin 内不触发</t>
  </si>
  <si>
    <t>SC2 Free Spin</t>
  </si>
  <si>
    <t>3+ SC2</t>
  </si>
  <si>
    <t>6 次 Free Spin；每次普通 ways ×2；不 retrigger</t>
  </si>
  <si>
    <t>SC1/SC2 在 FS 内不再触发</t>
  </si>
  <si>
    <t>同时触发</t>
  </si>
  <si>
    <t>两个条件同时满足</t>
  </si>
  <si>
    <t>Free Spin 优先</t>
  </si>
  <si>
    <t>Respin 不补发、不延后</t>
  </si>
  <si>
    <t>嵌套</t>
  </si>
  <si>
    <t>任何 Feature 内</t>
  </si>
  <si>
    <t>Free Spin 与 Respin 不互相嵌套</t>
  </si>
  <si>
    <t>每个 Base Spin 最多一种 Feature</t>
  </si>
  <si>
    <t>Feature Buy</t>
  </si>
  <si>
    <t>主动购买</t>
  </si>
  <si>
    <t>10.5x 总下注，购买 6 次 Free Spin</t>
  </si>
  <si>
    <t>单独 RTP，不混入自然 RTP</t>
  </si>
  <si>
    <t>SC 可见概率</t>
  </si>
  <si>
    <t>Reel</t>
  </si>
  <si>
    <t>SC1 概率</t>
  </si>
  <si>
    <t>SC2 概率</t>
  </si>
  <si>
    <t>说明</t>
  </si>
  <si>
    <t>Reel 1</t>
  </si>
  <si>
    <t>每条轴 3/20 窗口可命中</t>
  </si>
  <si>
    <t>Reel 2</t>
  </si>
  <si>
    <t>Reel 3</t>
  </si>
  <si>
    <t>Reel 4</t>
  </si>
  <si>
    <t>Reel 5</t>
  </si>
  <si>
    <t>SC2 不在第 5 轴</t>
  </si>
  <si>
    <t>技术底稿：期望 ways</t>
  </si>
  <si>
    <t>v1 E3</t>
  </si>
  <si>
    <t>v1 E4</t>
  </si>
  <si>
    <t>v1 E5</t>
  </si>
  <si>
    <t>v2 E3</t>
  </si>
  <si>
    <t>v2 E4</t>
  </si>
  <si>
    <t>v2 E5</t>
  </si>
  <si>
    <t>E[ways 3/4/5] 已由 5 条 20 停点滚轴预计算；本作品重点展示赔率到 RTP 的公式链，不展开滚轴输入。</t>
  </si>
  <si>
    <t>来源</t>
  </si>
  <si>
    <t>slot_sim_243ways_v1/config.json；slot_sim_243ways_v2/config.json、版本说明.md、PatchNotes.md</t>
  </si>
  <si>
    <t>口径</t>
  </si>
  <si>
    <t>设计约 93.00%；同一 1M 模拟 92.94%。</t>
  </si>
  <si>
    <t>RTP 计算</t>
  </si>
  <si>
    <t>Base、Scatter、Free Spin、Respin、Feature Buy 在同一页完成</t>
  </si>
  <si>
    <t>v1 Base ways RTP</t>
  </si>
  <si>
    <t>3连 RTP</t>
  </si>
  <si>
    <t>4连 RTP</t>
  </si>
  <si>
    <t>5连 RTP</t>
  </si>
  <si>
    <t>合计</t>
  </si>
  <si>
    <t>v1 Base</t>
  </si>
  <si>
    <t>v2 Base ways RTP</t>
  </si>
  <si>
    <t>v2 Base</t>
  </si>
  <si>
    <t>Scatter 触发</t>
  </si>
  <si>
    <t>有效轴数</t>
  </si>
  <si>
    <t>每轴概率</t>
  </si>
  <si>
    <t>恰好 3</t>
  </si>
  <si>
    <t>恰好 4</t>
  </si>
  <si>
    <t>恰好 5</t>
  </si>
  <si>
    <t>至少 3</t>
  </si>
  <si>
    <t>SC1</t>
  </si>
  <si>
    <t>SC2</t>
  </si>
  <si>
    <t>Feature RTP</t>
  </si>
  <si>
    <t>1M 触发率</t>
  </si>
  <si>
    <t>平均赢奖</t>
  </si>
  <si>
    <t>RTP 贡献</t>
  </si>
  <si>
    <t>Free Spin</t>
  </si>
  <si>
    <t>6 次 ×2；FS 优先</t>
  </si>
  <si>
    <t>Respin</t>
  </si>
  <si>
    <t>优先扣除同时触发</t>
  </si>
  <si>
    <t>Feature 合计</t>
  </si>
  <si>
    <t>自然 RTP 的 Feature 部分</t>
  </si>
  <si>
    <t>RTP 汇总</t>
  </si>
  <si>
    <t>版本</t>
  </si>
  <si>
    <t>Base RTP</t>
  </si>
  <si>
    <t>设计 RTP</t>
  </si>
  <si>
    <t>纯 Base</t>
  </si>
  <si>
    <t>设计约 93.00%；1M 见下一表</t>
  </si>
  <si>
    <t>Feature Buy RTP</t>
  </si>
  <si>
    <t>值</t>
  </si>
  <si>
    <t>单位</t>
  </si>
  <si>
    <t>购买价格</t>
  </si>
  <si>
    <t>× bet</t>
  </si>
  <si>
    <t>6 次 Free Spin</t>
  </si>
  <si>
    <t>平均 FS 赢奖</t>
  </si>
  <si>
    <t>来自同一 1M 模拟</t>
  </si>
  <si>
    <t>买入 RTP</t>
  </si>
  <si>
    <t>RTP</t>
  </si>
  <si>
    <t>单独产品；不混入自然 RTP</t>
  </si>
  <si>
    <t>关键校验</t>
  </si>
  <si>
    <t>检查</t>
  </si>
  <si>
    <t>结果</t>
  </si>
  <si>
    <t>标准</t>
  </si>
  <si>
    <t>v2 设计 RTP</t>
  </si>
  <si>
    <t>与 93.00% 差异 ≤ 0.01pp</t>
  </si>
  <si>
    <t>90%–95%</t>
  </si>
  <si>
    <t>SC1 至少 3 个</t>
  </si>
  <si>
    <t>2.6612%</t>
  </si>
  <si>
    <t>SC2 至少 3 个</t>
  </si>
  <si>
    <t>1.1981%</t>
  </si>
  <si>
    <t>v1 与 v2 结果对比</t>
  </si>
  <si>
    <t>v2 的设计口径约 93.00%，同一 1M 模拟为 92.94%</t>
  </si>
  <si>
    <t>核心指标</t>
  </si>
  <si>
    <t>指标</t>
  </si>
  <si>
    <t>变化</t>
  </si>
  <si>
    <t>1M RTP</t>
  </si>
  <si>
    <t>Hit rate</t>
  </si>
  <si>
    <t>单转 SD</t>
  </si>
  <si>
    <t>Max Win 封顶</t>
  </si>
  <si>
    <t>1M 观察最大赢</t>
  </si>
  <si>
    <t>SC1 原始触发</t>
  </si>
  <si>
    <t>SC2 原始触发</t>
  </si>
  <si>
    <t>Patch Notes</t>
  </si>
  <si>
    <t>改动</t>
  </si>
  <si>
    <t>设计意图</t>
  </si>
  <si>
    <t>符号与 Base</t>
  </si>
  <si>
    <t>7 个普通符号，纯 Base</t>
  </si>
  <si>
    <t>保持 7 个普通符号，Base 降至 79.67%</t>
  </si>
  <si>
    <t>把更多 RTP 转移给 Feature</t>
  </si>
  <si>
    <t>Feature</t>
  </si>
  <si>
    <t>无</t>
  </si>
  <si>
    <t>SC1 Respin；SC2 Free Spin</t>
  </si>
  <si>
    <t>区分短 Respin 与长 Free Spin</t>
  </si>
  <si>
    <t>触发优先</t>
  </si>
  <si>
    <t>同时触发时 Free Spin 优先</t>
  </si>
  <si>
    <t>避免一次 Spin 重复领取两种 Feature</t>
  </si>
  <si>
    <t>波动</t>
  </si>
  <si>
    <t>SD 2.51；Max 1000x</t>
  </si>
  <si>
    <t>SD 2.88；Max 5000x</t>
  </si>
  <si>
    <t>提高上限与尾部赢奖</t>
  </si>
  <si>
    <t>商业化</t>
  </si>
  <si>
    <t>无 Buy</t>
  </si>
  <si>
    <t>10.5x Feature Buy，RTP 90.54%</t>
  </si>
  <si>
    <t>增加主动金币 sink</t>
  </si>
  <si>
    <t>面试结论</t>
  </si>
  <si>
    <t>结论</t>
  </si>
  <si>
    <t>v1 用高 hit、低波动保持平滑体验；v2 用两种 Scatter 和独立 Feature 提高波动与上限。</t>
  </si>
  <si>
    <t>机制边界</t>
  </si>
  <si>
    <t>FS 与 Respin 不嵌套；同盘同时触发 Free Spin 优先，进入任一 Feature 后另一套 Scatter 不再触发。</t>
  </si>
  <si>
    <t>v2 设计约 93.00%，1M 92.94%；差异约 0.06pp，单独报告而不是统一成一个数。</t>
  </si>
  <si>
    <t>Feature Buy 是 Free Spin 的独立入口，10.5x 售价对应 90.54% RTP，不能直接加到自然 RTP。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</si>
</sst>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0.000000"/>
    <numFmt numFmtId="177" formatCode="0.0000%"/>
    <numFmt numFmtId="178" formatCode="0.0000\x"/>
    <numFmt numFmtId="179" formatCode="0.000%"/>
    <numFmt numFmtId="180" formatCode="\+0.00%;\-0.00%;0.00%"/>
    <numFmt numFmtId="181" formatCode="\+0.00\p\p;\-0.00\p\p;0.00\p\p"/>
    <numFmt numFmtId="182" formatCode="\+0.00;\-0.00;0.00"/>
    <numFmt numFmtId="183" formatCode="#,##0\x"/>
    <numFmt numFmtId="184" formatCode="\+0\x;\-0\x;0\x"/>
  </numFmts>
  <fonts count="16">
    <font>
      <sz val="11"/>
      <name val="Carlito"/>
    </font>
    <font>
      <sz val="10"/>
      <color rgb="FF1F2933"/>
      <name val="Microsoft YaHei"/>
      <family val="2"/>
      <charset val="134"/>
    </font>
    <font>
      <b/>
      <sz val="14"/>
      <color rgb="FF1F2933"/>
      <name val="Microsoft YaHei"/>
      <family val="2"/>
      <charset val="134"/>
    </font>
    <font>
      <b/>
      <sz val="9"/>
      <color rgb="FF59636E"/>
      <name val="Microsoft YaHei"/>
      <family val="2"/>
      <charset val="134"/>
    </font>
    <font>
      <b/>
      <sz val="11"/>
      <color rgb="FF1F2933"/>
      <name val="Microsoft YaHei"/>
      <family val="2"/>
      <charset val="134"/>
    </font>
    <font>
      <b/>
      <sz val="9.5"/>
      <color rgb="FFFFFFFF"/>
      <name val="Microsoft YaHei"/>
      <family val="2"/>
      <charset val="134"/>
    </font>
    <font>
      <sz val="9.1999999999999993"/>
      <color rgb="FF1F2933"/>
      <name val="Microsoft YaHei"/>
      <family val="2"/>
      <charset val="134"/>
    </font>
    <font>
      <sz val="8.8000000000000007"/>
      <color rgb="FF1F2933"/>
      <name val="Microsoft YaHei"/>
      <family val="2"/>
      <charset val="134"/>
    </font>
    <font>
      <sz val="8.5"/>
      <color rgb="FF1F2933"/>
      <name val="Microsoft YaHei"/>
      <family val="2"/>
      <charset val="134"/>
    </font>
    <font>
      <sz val="8.5"/>
      <color rgb="FF59636E"/>
      <name val="Microsoft YaHei"/>
      <family val="2"/>
      <charset val="134"/>
    </font>
    <font>
      <sz val="9"/>
      <color rgb="FF59636E"/>
      <name val="Microsoft YaHei"/>
      <family val="2"/>
      <charset val="134"/>
    </font>
    <font>
      <b/>
      <sz val="9.1999999999999993"/>
      <color rgb="FF1F2933"/>
      <name val="Microsoft YaHei"/>
      <family val="2"/>
      <charset val="134"/>
    </font>
    <font>
      <b/>
      <sz val="9.5"/>
      <color rgb="FF1F2933"/>
      <name val="Microsoft YaHei"/>
      <family val="2"/>
      <charset val="134"/>
    </font>
    <font>
      <sz val="9"/>
      <color rgb="FF1F2933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2F3E46"/>
      </patternFill>
    </fill>
    <fill>
      <patternFill patternType="solid">
        <fgColor rgb="FFFFF2CC"/>
      </patternFill>
    </fill>
    <fill>
      <patternFill patternType="solid">
        <fgColor rgb="FFDDEBF7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4" fillId="0" borderId="0"/>
  </cellStyleXfs>
  <cellXfs count="39">
    <xf numFmtId="0" fontId="0" fillId="0" borderId="0" xfId="0"/>
    <xf numFmtId="0" fontId="5" fillId="2" borderId="2" xfId="1" applyFont="1" applyFill="1" applyBorder="1" applyAlignment="1">
      <alignment horizontal="center" vertical="center"/>
    </xf>
    <xf numFmtId="0" fontId="6" fillId="0" borderId="3" xfId="1" applyFont="1" applyBorder="1" applyAlignment="1">
      <alignment vertical="center"/>
    </xf>
    <xf numFmtId="2" fontId="6" fillId="0" borderId="3" xfId="1" applyNumberFormat="1" applyFont="1" applyBorder="1" applyAlignment="1">
      <alignment vertical="center"/>
    </xf>
    <xf numFmtId="0" fontId="7" fillId="0" borderId="3" xfId="1" applyFont="1" applyBorder="1" applyAlignment="1">
      <alignment vertical="center"/>
    </xf>
    <xf numFmtId="10" fontId="6" fillId="0" borderId="3" xfId="1" applyNumberFormat="1" applyFont="1" applyBorder="1" applyAlignment="1">
      <alignment vertical="center"/>
    </xf>
    <xf numFmtId="10" fontId="6" fillId="3" borderId="3" xfId="1" applyNumberFormat="1" applyFont="1" applyFill="1" applyBorder="1" applyAlignment="1">
      <alignment vertical="center"/>
    </xf>
    <xf numFmtId="176" fontId="8" fillId="3" borderId="3" xfId="1" applyNumberFormat="1" applyFont="1" applyFill="1" applyBorder="1" applyAlignment="1">
      <alignment vertical="center"/>
    </xf>
    <xf numFmtId="0" fontId="11" fillId="2" borderId="3" xfId="1" applyFont="1" applyFill="1" applyBorder="1" applyAlignment="1">
      <alignment horizontal="center" vertical="center"/>
    </xf>
    <xf numFmtId="177" fontId="6" fillId="0" borderId="3" xfId="1" applyNumberFormat="1" applyFont="1" applyBorder="1" applyAlignment="1">
      <alignment vertical="center"/>
    </xf>
    <xf numFmtId="0" fontId="6" fillId="4" borderId="3" xfId="1" applyFont="1" applyFill="1" applyBorder="1" applyAlignment="1">
      <alignment vertical="center"/>
    </xf>
    <xf numFmtId="177" fontId="6" fillId="4" borderId="3" xfId="1" applyNumberFormat="1" applyFont="1" applyFill="1" applyBorder="1" applyAlignment="1">
      <alignment vertical="center"/>
    </xf>
    <xf numFmtId="0" fontId="12" fillId="4" borderId="3" xfId="1" applyFont="1" applyFill="1" applyBorder="1" applyAlignment="1">
      <alignment vertical="center"/>
    </xf>
    <xf numFmtId="177" fontId="12" fillId="4" borderId="3" xfId="1" applyNumberFormat="1" applyFont="1" applyFill="1" applyBorder="1" applyAlignment="1">
      <alignment vertical="center"/>
    </xf>
    <xf numFmtId="177" fontId="6" fillId="3" borderId="3" xfId="1" applyNumberFormat="1" applyFont="1" applyFill="1" applyBorder="1" applyAlignment="1">
      <alignment vertical="center"/>
    </xf>
    <xf numFmtId="178" fontId="6" fillId="3" borderId="3" xfId="1" applyNumberFormat="1" applyFont="1" applyFill="1" applyBorder="1" applyAlignment="1">
      <alignment vertical="center"/>
    </xf>
    <xf numFmtId="179" fontId="6" fillId="0" borderId="3" xfId="1" applyNumberFormat="1" applyFont="1" applyBorder="1" applyAlignment="1">
      <alignment vertical="center"/>
    </xf>
    <xf numFmtId="179" fontId="6" fillId="4" borderId="3" xfId="1" applyNumberFormat="1" applyFont="1" applyFill="1" applyBorder="1" applyAlignment="1">
      <alignment vertical="center"/>
    </xf>
    <xf numFmtId="178" fontId="6" fillId="0" borderId="3" xfId="1" applyNumberFormat="1" applyFont="1" applyBorder="1" applyAlignment="1">
      <alignment vertical="center"/>
    </xf>
    <xf numFmtId="180" fontId="6" fillId="0" borderId="3" xfId="1" applyNumberFormat="1" applyFont="1" applyBorder="1" applyAlignment="1">
      <alignment vertical="center"/>
    </xf>
    <xf numFmtId="181" fontId="6" fillId="0" borderId="3" xfId="1" applyNumberFormat="1" applyFont="1" applyBorder="1" applyAlignment="1">
      <alignment vertical="center"/>
    </xf>
    <xf numFmtId="182" fontId="6" fillId="0" borderId="3" xfId="1" applyNumberFormat="1" applyFont="1" applyBorder="1" applyAlignment="1">
      <alignment vertical="center"/>
    </xf>
    <xf numFmtId="183" fontId="6" fillId="0" borderId="3" xfId="1" applyNumberFormat="1" applyFont="1" applyBorder="1" applyAlignment="1">
      <alignment vertical="center"/>
    </xf>
    <xf numFmtId="184" fontId="6" fillId="0" borderId="3" xfId="1" applyNumberFormat="1" applyFont="1" applyBorder="1" applyAlignment="1">
      <alignment vertical="center"/>
    </xf>
    <xf numFmtId="10" fontId="12" fillId="4" borderId="3" xfId="1" applyNumberFormat="1" applyFont="1" applyFill="1" applyBorder="1" applyAlignment="1">
      <alignment vertical="center"/>
    </xf>
    <xf numFmtId="180" fontId="12" fillId="4" borderId="3" xfId="1" applyNumberFormat="1" applyFont="1" applyFill="1" applyBorder="1" applyAlignment="1">
      <alignment vertical="center"/>
    </xf>
    <xf numFmtId="0" fontId="2" fillId="0" borderId="0" xfId="1" applyFont="1" applyAlignment="1">
      <alignment vertical="center"/>
    </xf>
    <xf numFmtId="0" fontId="1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1" xfId="1" applyFont="1" applyBorder="1" applyAlignment="1">
      <alignment vertical="center"/>
    </xf>
    <xf numFmtId="0" fontId="9" fillId="0" borderId="0" xfId="1" applyFont="1" applyAlignment="1">
      <alignment vertical="center" wrapText="1"/>
    </xf>
    <xf numFmtId="0" fontId="10" fillId="0" borderId="0" xfId="1" applyFont="1" applyAlignment="1">
      <alignment vertical="center"/>
    </xf>
    <xf numFmtId="0" fontId="13" fillId="0" borderId="0" xfId="1" applyFont="1" applyAlignment="1">
      <alignment vertical="center" wrapText="1"/>
    </xf>
    <xf numFmtId="0" fontId="5" fillId="2" borderId="2" xfId="1" applyFont="1" applyFill="1" applyBorder="1" applyAlignment="1">
      <alignment horizontal="center" vertical="center"/>
    </xf>
    <xf numFmtId="0" fontId="7" fillId="0" borderId="3" xfId="1" applyFont="1" applyBorder="1" applyAlignment="1">
      <alignment vertical="center"/>
    </xf>
    <xf numFmtId="0" fontId="6" fillId="0" borderId="3" xfId="1" applyFont="1" applyBorder="1" applyAlignment="1">
      <alignment vertical="center"/>
    </xf>
    <xf numFmtId="0" fontId="9" fillId="0" borderId="0" xfId="1" applyFont="1" applyAlignment="1">
      <alignment vertical="center" wrapText="1"/>
    </xf>
    <xf numFmtId="0" fontId="13" fillId="0" borderId="0" xfId="1" applyFont="1" applyAlignment="1">
      <alignment vertical="center" wrapText="1"/>
    </xf>
    <xf numFmtId="0" fontId="8" fillId="0" borderId="3" xfId="1" applyFont="1" applyBorder="1" applyAlignment="1">
      <alignment horizontal="left" vertical="center"/>
    </xf>
  </cellXfs>
  <cellStyles count="2">
    <cellStyle name="Normal" xfId="1" xr:uid="{00000000-0005-0000-0000-000000000000}"/>
    <cellStyle name="常规" xfId="0" builtinId="0"/>
  </cellStyles>
  <dxfs count="2"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Paytable" displayName="tblPaytable" ref="A12:G19" totalsRowShown="0">
  <tableColumns count="7">
    <tableColumn id="1" xr3:uid="{00000000-0010-0000-0000-000001000000}" name="符号"/>
    <tableColumn id="2" xr3:uid="{00000000-0010-0000-0000-000002000000}" name="v1 3连"/>
    <tableColumn id="3" xr3:uid="{00000000-0010-0000-0000-000003000000}" name="v1 4连"/>
    <tableColumn id="4" xr3:uid="{00000000-0010-0000-0000-000004000000}" name="v1 5连"/>
    <tableColumn id="5" xr3:uid="{00000000-0010-0000-0000-000005000000}" name="v2 3连"/>
    <tableColumn id="6" xr3:uid="{00000000-0010-0000-0000-000006000000}" name="v2 4连"/>
    <tableColumn id="7" xr3:uid="{00000000-0010-0000-0000-000007000000}" name="v2 5连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V1BaseRTP" displayName="tblV1BaseRTP" ref="A5:E13" totalsRowShown="0">
  <tableColumns count="5">
    <tableColumn id="1" xr3:uid="{00000000-0010-0000-0100-000001000000}" name="符号"/>
    <tableColumn id="2" xr3:uid="{00000000-0010-0000-0100-000002000000}" name="3连 RTP"/>
    <tableColumn id="3" xr3:uid="{00000000-0010-0000-0100-000003000000}" name="4连 RTP"/>
    <tableColumn id="4" xr3:uid="{00000000-0010-0000-0100-000004000000}" name="5连 RTP"/>
    <tableColumn id="5" xr3:uid="{00000000-0010-0000-0100-000005000000}" name="合计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V2BaseRTP" displayName="tblV2BaseRTP" ref="A17:E25" totalsRowShown="0">
  <tableColumns count="5">
    <tableColumn id="1" xr3:uid="{00000000-0010-0000-0200-000001000000}" name="符号"/>
    <tableColumn id="2" xr3:uid="{00000000-0010-0000-0200-000002000000}" name="3连 RTP"/>
    <tableColumn id="3" xr3:uid="{00000000-0010-0000-0200-000003000000}" name="4连 RTP"/>
    <tableColumn id="4" xr3:uid="{00000000-0010-0000-0200-000004000000}" name="5连 RTP"/>
    <tableColumn id="5" xr3:uid="{00000000-0010-0000-0200-000005000000}" name="合计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ScatterTrigger" displayName="tblScatterTrigger" ref="A29:G31" totalsRowShown="0">
  <tableColumns count="7">
    <tableColumn id="1" xr3:uid="{00000000-0010-0000-0300-000001000000}" name="符号"/>
    <tableColumn id="2" xr3:uid="{00000000-0010-0000-0300-000002000000}" name="有效轴数"/>
    <tableColumn id="3" xr3:uid="{00000000-0010-0000-0300-000003000000}" name="每轴概率"/>
    <tableColumn id="4" xr3:uid="{00000000-0010-0000-0300-000004000000}" name="恰好 3"/>
    <tableColumn id="5" xr3:uid="{00000000-0010-0000-0300-000005000000}" name="恰好 4"/>
    <tableColumn id="6" xr3:uid="{00000000-0010-0000-0300-000006000000}" name="恰好 5"/>
    <tableColumn id="7" xr3:uid="{00000000-0010-0000-0300-000007000000}" name="至少 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FeatureRTP" displayName="tblFeatureRTP" ref="A35:E38" totalsRowShown="0">
  <tableColumns count="5">
    <tableColumn id="1" xr3:uid="{00000000-0010-0000-0400-000001000000}" name="来源"/>
    <tableColumn id="2" xr3:uid="{00000000-0010-0000-0400-000002000000}" name="1M 触发率"/>
    <tableColumn id="3" xr3:uid="{00000000-0010-0000-0400-000003000000}" name="平均赢奖"/>
    <tableColumn id="4" xr3:uid="{00000000-0010-0000-0400-000004000000}" name="RTP 贡献"/>
    <tableColumn id="5" xr3:uid="{00000000-0010-0000-0400-000005000000}" name="说明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RTPDesign" displayName="tblRTPDesign" ref="A42:E44" totalsRowShown="0">
  <tableColumns count="5">
    <tableColumn id="1" xr3:uid="{00000000-0010-0000-0500-000001000000}" name="版本"/>
    <tableColumn id="2" xr3:uid="{00000000-0010-0000-0500-000002000000}" name="Base RTP"/>
    <tableColumn id="3" xr3:uid="{00000000-0010-0000-0500-000003000000}" name="Feature RTP"/>
    <tableColumn id="4" xr3:uid="{00000000-0010-0000-0500-000004000000}" name="设计 RTP"/>
    <tableColumn id="5" xr3:uid="{00000000-0010-0000-0500-000005000000}" name="口径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FeatureBuyRTP" displayName="tblFeatureBuyRTP" ref="A48:D51" totalsRowShown="0">
  <tableColumns count="4">
    <tableColumn id="1" xr3:uid="{00000000-0010-0000-0600-000001000000}" name="项目"/>
    <tableColumn id="2" xr3:uid="{00000000-0010-0000-0600-000002000000}" name="值"/>
    <tableColumn id="3" xr3:uid="{00000000-0010-0000-0600-000003000000}" name="单位"/>
    <tableColumn id="4" xr3:uid="{00000000-0010-0000-0600-000004000000}" name="说明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VersionCompare" displayName="tblVersionCompare" ref="A5:D16" totalsRowShown="0">
  <tableColumns count="4">
    <tableColumn id="1" xr3:uid="{00000000-0010-0000-0700-000001000000}" name="指标"/>
    <tableColumn id="2" xr3:uid="{00000000-0010-0000-0700-000002000000}" name="v1"/>
    <tableColumn id="3" xr3:uid="{00000000-0010-0000-0700-000003000000}" name="v2"/>
    <tableColumn id="4" xr3:uid="{00000000-0010-0000-0700-000004000000}" name="变化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65A75"/>
  </sheetPr>
  <dimension ref="A1:M70"/>
  <sheetViews>
    <sheetView showGridLines="0" workbookViewId="0">
      <selection activeCell="C38" sqref="C38"/>
    </sheetView>
  </sheetViews>
  <sheetFormatPr defaultRowHeight="14"/>
  <cols>
    <col min="1" max="1" width="10.75" customWidth="1"/>
    <col min="2" max="7" width="13" customWidth="1"/>
    <col min="8" max="8" width="42" customWidth="1"/>
  </cols>
  <sheetData>
    <row r="1" spans="1:13" ht="20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3" ht="14.5">
      <c r="A2" s="28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1:13" ht="14.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4" spans="1:13" ht="16.5">
      <c r="A4" s="29" t="s">
        <v>2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</row>
    <row r="5" spans="1:13" ht="14.5">
      <c r="A5" s="1" t="s">
        <v>3</v>
      </c>
      <c r="B5" s="1" t="s">
        <v>4</v>
      </c>
      <c r="C5" s="1" t="s">
        <v>5</v>
      </c>
      <c r="D5" s="27"/>
      <c r="E5" s="27"/>
      <c r="F5" s="27"/>
      <c r="G5" s="27"/>
      <c r="H5" s="27"/>
      <c r="I5" s="27"/>
      <c r="J5" s="27"/>
      <c r="K5" s="27"/>
      <c r="L5" s="27"/>
      <c r="M5" s="27"/>
    </row>
    <row r="6" spans="1:13" ht="14.5">
      <c r="A6" s="2" t="s">
        <v>6</v>
      </c>
      <c r="B6" s="2" t="s">
        <v>7</v>
      </c>
      <c r="C6" s="2" t="s">
        <v>8</v>
      </c>
      <c r="D6" s="27"/>
      <c r="E6" s="27"/>
      <c r="F6" s="27"/>
      <c r="G6" s="27"/>
      <c r="H6" s="27"/>
      <c r="I6" s="27"/>
      <c r="J6" s="27"/>
      <c r="K6" s="27"/>
      <c r="L6" s="27"/>
      <c r="M6" s="27"/>
    </row>
    <row r="7" spans="1:13" ht="14.5">
      <c r="A7" s="2" t="s">
        <v>9</v>
      </c>
      <c r="B7" s="2" t="s">
        <v>10</v>
      </c>
      <c r="C7" s="2" t="s">
        <v>11</v>
      </c>
      <c r="D7" s="27"/>
      <c r="E7" s="27"/>
      <c r="F7" s="27"/>
      <c r="G7" s="27"/>
      <c r="H7" s="27"/>
      <c r="I7" s="27"/>
      <c r="J7" s="27"/>
      <c r="K7" s="27"/>
      <c r="L7" s="27"/>
      <c r="M7" s="27"/>
    </row>
    <row r="8" spans="1:13" ht="14.5">
      <c r="A8" s="2" t="s">
        <v>12</v>
      </c>
      <c r="B8" s="2" t="s">
        <v>13</v>
      </c>
      <c r="C8" s="2" t="s">
        <v>14</v>
      </c>
      <c r="D8" s="27"/>
      <c r="E8" s="27"/>
      <c r="F8" s="27"/>
      <c r="G8" s="27"/>
      <c r="H8" s="27"/>
      <c r="I8" s="27"/>
      <c r="J8" s="27"/>
      <c r="K8" s="27"/>
      <c r="L8" s="27"/>
      <c r="M8" s="27"/>
    </row>
    <row r="9" spans="1:13" ht="14.5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</row>
    <row r="10" spans="1:13" ht="14.5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</row>
    <row r="11" spans="1:13" ht="16.5">
      <c r="A11" s="29" t="s">
        <v>15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</row>
    <row r="12" spans="1:13" ht="26" customHeight="1">
      <c r="A12" s="1" t="s">
        <v>16</v>
      </c>
      <c r="B12" s="1" t="s">
        <v>17</v>
      </c>
      <c r="C12" s="1" t="s">
        <v>18</v>
      </c>
      <c r="D12" s="1" t="s">
        <v>19</v>
      </c>
      <c r="E12" s="1" t="s">
        <v>20</v>
      </c>
      <c r="F12" s="1" t="s">
        <v>21</v>
      </c>
      <c r="G12" s="1" t="s">
        <v>22</v>
      </c>
      <c r="H12" s="27"/>
      <c r="I12" s="27"/>
      <c r="J12" s="27"/>
      <c r="K12" s="27"/>
      <c r="L12" s="27"/>
      <c r="M12" s="27"/>
    </row>
    <row r="13" spans="1:13" ht="14.5">
      <c r="A13" s="2" t="s">
        <v>23</v>
      </c>
      <c r="B13" s="3">
        <v>0.5</v>
      </c>
      <c r="C13" s="3">
        <v>1</v>
      </c>
      <c r="D13" s="3">
        <v>10</v>
      </c>
      <c r="E13" s="3">
        <v>0.6</v>
      </c>
      <c r="F13" s="3">
        <v>1</v>
      </c>
      <c r="G13" s="3">
        <v>10</v>
      </c>
      <c r="H13" s="27"/>
      <c r="I13" s="27"/>
      <c r="J13" s="27"/>
      <c r="K13" s="27"/>
      <c r="L13" s="27"/>
      <c r="M13" s="27"/>
    </row>
    <row r="14" spans="1:13" ht="14.5">
      <c r="A14" s="2" t="s">
        <v>24</v>
      </c>
      <c r="B14" s="3">
        <v>0.4</v>
      </c>
      <c r="C14" s="3">
        <v>0.8</v>
      </c>
      <c r="D14" s="3">
        <v>10</v>
      </c>
      <c r="E14" s="3">
        <v>0.4</v>
      </c>
      <c r="F14" s="3">
        <v>0.8</v>
      </c>
      <c r="G14" s="3">
        <v>10</v>
      </c>
      <c r="H14" s="27"/>
      <c r="I14" s="27"/>
      <c r="J14" s="27"/>
      <c r="K14" s="27"/>
      <c r="L14" s="27"/>
      <c r="M14" s="27"/>
    </row>
    <row r="15" spans="1:13" ht="14.5">
      <c r="A15" s="2" t="s">
        <v>25</v>
      </c>
      <c r="B15" s="3">
        <v>0.4</v>
      </c>
      <c r="C15" s="3">
        <v>0.8</v>
      </c>
      <c r="D15" s="3">
        <v>5</v>
      </c>
      <c r="E15" s="3">
        <v>0.4</v>
      </c>
      <c r="F15" s="3">
        <v>0.8</v>
      </c>
      <c r="G15" s="3">
        <v>10</v>
      </c>
      <c r="H15" s="27"/>
      <c r="I15" s="27"/>
      <c r="J15" s="27"/>
      <c r="K15" s="27"/>
      <c r="L15" s="27"/>
      <c r="M15" s="27"/>
    </row>
    <row r="16" spans="1:13" ht="14.5">
      <c r="A16" s="2" t="s">
        <v>26</v>
      </c>
      <c r="B16" s="3">
        <v>0.3</v>
      </c>
      <c r="C16" s="3">
        <v>0.5</v>
      </c>
      <c r="D16" s="3">
        <v>5</v>
      </c>
      <c r="E16" s="3">
        <v>0.3</v>
      </c>
      <c r="F16" s="3">
        <v>0.8</v>
      </c>
      <c r="G16" s="3">
        <v>5</v>
      </c>
      <c r="H16" s="27"/>
      <c r="I16" s="27"/>
      <c r="J16" s="27"/>
      <c r="K16" s="27"/>
      <c r="L16" s="27"/>
      <c r="M16" s="27"/>
    </row>
    <row r="17" spans="1:13" ht="14.5">
      <c r="A17" s="2" t="s">
        <v>27</v>
      </c>
      <c r="B17" s="3">
        <v>0.3</v>
      </c>
      <c r="C17" s="3">
        <v>0.5</v>
      </c>
      <c r="D17" s="3">
        <v>5</v>
      </c>
      <c r="E17" s="3">
        <v>0.3</v>
      </c>
      <c r="F17" s="3">
        <v>0.8</v>
      </c>
      <c r="G17" s="3">
        <v>5</v>
      </c>
      <c r="H17" s="27"/>
      <c r="I17" s="27"/>
      <c r="J17" s="27"/>
      <c r="K17" s="27"/>
      <c r="L17" s="27"/>
      <c r="M17" s="27"/>
    </row>
    <row r="18" spans="1:13" ht="14.5">
      <c r="A18" s="2" t="s">
        <v>28</v>
      </c>
      <c r="B18" s="3">
        <v>0.3</v>
      </c>
      <c r="C18" s="3">
        <v>0.5</v>
      </c>
      <c r="D18" s="3">
        <v>5</v>
      </c>
      <c r="E18" s="3">
        <v>0.3</v>
      </c>
      <c r="F18" s="3">
        <v>0.8</v>
      </c>
      <c r="G18" s="3">
        <v>5</v>
      </c>
      <c r="H18" s="27"/>
      <c r="I18" s="27"/>
      <c r="J18" s="27"/>
      <c r="K18" s="27"/>
      <c r="L18" s="27"/>
      <c r="M18" s="27"/>
    </row>
    <row r="19" spans="1:13" ht="14.5">
      <c r="A19" s="2" t="s">
        <v>29</v>
      </c>
      <c r="B19" s="3">
        <v>0.3</v>
      </c>
      <c r="C19" s="3">
        <v>0.5</v>
      </c>
      <c r="D19" s="3">
        <v>5</v>
      </c>
      <c r="E19" s="3">
        <v>0.3</v>
      </c>
      <c r="F19" s="3">
        <v>0.8</v>
      </c>
      <c r="G19" s="3">
        <v>5</v>
      </c>
      <c r="H19" s="27"/>
      <c r="I19" s="27"/>
      <c r="J19" s="27"/>
      <c r="K19" s="27"/>
      <c r="L19" s="27"/>
      <c r="M19" s="27"/>
    </row>
    <row r="20" spans="1:13" ht="14.5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</row>
    <row r="21" spans="1:13" ht="14.5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</row>
    <row r="22" spans="1:13" ht="16.5">
      <c r="A22" s="29" t="s">
        <v>30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</row>
    <row r="23" spans="1:13" ht="30" customHeight="1">
      <c r="A23" s="1" t="s">
        <v>31</v>
      </c>
      <c r="B23" s="1" t="s">
        <v>32</v>
      </c>
      <c r="C23" s="33" t="s">
        <v>33</v>
      </c>
      <c r="D23" s="33"/>
      <c r="E23" s="33" t="s">
        <v>34</v>
      </c>
      <c r="F23" s="33"/>
      <c r="G23" s="33"/>
      <c r="H23" s="33"/>
      <c r="I23" s="27"/>
      <c r="J23" s="27"/>
      <c r="K23" s="27"/>
      <c r="L23" s="27"/>
      <c r="M23" s="27"/>
    </row>
    <row r="24" spans="1:13" ht="30" customHeight="1">
      <c r="A24" s="4" t="s">
        <v>35</v>
      </c>
      <c r="B24" s="4" t="s">
        <v>36</v>
      </c>
      <c r="C24" s="34" t="s">
        <v>37</v>
      </c>
      <c r="D24" s="34"/>
      <c r="E24" s="34" t="s">
        <v>38</v>
      </c>
      <c r="F24" s="34"/>
      <c r="G24" s="34"/>
      <c r="H24" s="34"/>
      <c r="I24" s="27"/>
      <c r="J24" s="27"/>
      <c r="K24" s="27"/>
      <c r="L24" s="27"/>
      <c r="M24" s="27"/>
    </row>
    <row r="25" spans="1:13" ht="30" customHeight="1">
      <c r="A25" s="4" t="s">
        <v>39</v>
      </c>
      <c r="B25" s="4" t="s">
        <v>40</v>
      </c>
      <c r="C25" s="34" t="s">
        <v>41</v>
      </c>
      <c r="D25" s="34"/>
      <c r="E25" s="34" t="s">
        <v>42</v>
      </c>
      <c r="F25" s="34"/>
      <c r="G25" s="34"/>
      <c r="H25" s="34"/>
      <c r="I25" s="27"/>
      <c r="J25" s="27"/>
      <c r="K25" s="27"/>
      <c r="L25" s="27"/>
      <c r="M25" s="27"/>
    </row>
    <row r="26" spans="1:13" ht="30" customHeight="1">
      <c r="A26" s="4" t="s">
        <v>43</v>
      </c>
      <c r="B26" s="4" t="s">
        <v>44</v>
      </c>
      <c r="C26" s="34" t="s">
        <v>45</v>
      </c>
      <c r="D26" s="34"/>
      <c r="E26" s="34" t="s">
        <v>46</v>
      </c>
      <c r="F26" s="34"/>
      <c r="G26" s="34"/>
      <c r="H26" s="34"/>
      <c r="I26" s="27"/>
      <c r="J26" s="27"/>
      <c r="K26" s="27"/>
      <c r="L26" s="27"/>
      <c r="M26" s="27"/>
    </row>
    <row r="27" spans="1:13" ht="30" customHeight="1">
      <c r="A27" s="4" t="s">
        <v>47</v>
      </c>
      <c r="B27" s="4" t="s">
        <v>48</v>
      </c>
      <c r="C27" s="34" t="s">
        <v>49</v>
      </c>
      <c r="D27" s="34"/>
      <c r="E27" s="34" t="s">
        <v>50</v>
      </c>
      <c r="F27" s="34"/>
      <c r="G27" s="34"/>
      <c r="H27" s="34"/>
      <c r="I27" s="27"/>
      <c r="J27" s="27"/>
      <c r="K27" s="27"/>
      <c r="L27" s="27"/>
      <c r="M27" s="27"/>
    </row>
    <row r="28" spans="1:13" ht="30" customHeight="1">
      <c r="A28" s="4" t="s">
        <v>51</v>
      </c>
      <c r="B28" s="4" t="s">
        <v>52</v>
      </c>
      <c r="C28" s="34" t="s">
        <v>53</v>
      </c>
      <c r="D28" s="34"/>
      <c r="E28" s="34" t="s">
        <v>54</v>
      </c>
      <c r="F28" s="34"/>
      <c r="G28" s="34"/>
      <c r="H28" s="34"/>
      <c r="I28" s="27"/>
      <c r="J28" s="27"/>
      <c r="K28" s="27"/>
      <c r="L28" s="27"/>
      <c r="M28" s="27"/>
    </row>
    <row r="29" spans="1:13" ht="14.5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</row>
    <row r="30" spans="1:13" ht="14.5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</row>
    <row r="31" spans="1:13" ht="16.5">
      <c r="A31" s="29" t="s">
        <v>55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</row>
    <row r="32" spans="1:13" ht="26" customHeight="1">
      <c r="A32" s="1" t="s">
        <v>56</v>
      </c>
      <c r="B32" s="1" t="s">
        <v>57</v>
      </c>
      <c r="C32" s="1" t="s">
        <v>58</v>
      </c>
      <c r="D32" s="33" t="s">
        <v>59</v>
      </c>
      <c r="E32" s="33"/>
      <c r="F32" s="33"/>
      <c r="G32" s="33"/>
      <c r="H32" s="33"/>
      <c r="I32" s="27"/>
      <c r="J32" s="27"/>
      <c r="K32" s="27"/>
      <c r="L32" s="27"/>
      <c r="M32" s="27"/>
    </row>
    <row r="33" spans="1:13" ht="14.5">
      <c r="A33" s="2" t="s">
        <v>60</v>
      </c>
      <c r="B33" s="6">
        <v>0.15</v>
      </c>
      <c r="C33" s="6">
        <v>0.15</v>
      </c>
      <c r="D33" s="35" t="s">
        <v>61</v>
      </c>
      <c r="E33" s="35"/>
      <c r="F33" s="35"/>
      <c r="G33" s="35"/>
      <c r="H33" s="35"/>
      <c r="I33" s="27"/>
      <c r="J33" s="27"/>
      <c r="K33" s="27"/>
      <c r="L33" s="27"/>
      <c r="M33" s="27"/>
    </row>
    <row r="34" spans="1:13" ht="14.5">
      <c r="A34" s="2" t="s">
        <v>62</v>
      </c>
      <c r="B34" s="6">
        <v>0.15</v>
      </c>
      <c r="C34" s="6">
        <v>0.15</v>
      </c>
      <c r="D34" s="35"/>
      <c r="E34" s="35"/>
      <c r="F34" s="35"/>
      <c r="G34" s="35"/>
      <c r="H34" s="35"/>
      <c r="I34" s="27"/>
      <c r="J34" s="27"/>
      <c r="K34" s="27"/>
      <c r="L34" s="27"/>
      <c r="M34" s="27"/>
    </row>
    <row r="35" spans="1:13" ht="14.5">
      <c r="A35" s="2" t="s">
        <v>63</v>
      </c>
      <c r="B35" s="6">
        <v>0.15</v>
      </c>
      <c r="C35" s="6">
        <v>0.15</v>
      </c>
      <c r="D35" s="35"/>
      <c r="E35" s="35"/>
      <c r="F35" s="35"/>
      <c r="G35" s="35"/>
      <c r="H35" s="35"/>
      <c r="I35" s="27"/>
      <c r="J35" s="27"/>
      <c r="K35" s="27"/>
      <c r="L35" s="27"/>
      <c r="M35" s="27"/>
    </row>
    <row r="36" spans="1:13" ht="14.5">
      <c r="A36" s="2" t="s">
        <v>64</v>
      </c>
      <c r="B36" s="6">
        <v>0.15</v>
      </c>
      <c r="C36" s="6">
        <v>0.15</v>
      </c>
      <c r="D36" s="35"/>
      <c r="E36" s="35"/>
      <c r="F36" s="35"/>
      <c r="G36" s="35"/>
      <c r="H36" s="35"/>
      <c r="I36" s="27"/>
      <c r="J36" s="27"/>
      <c r="K36" s="27"/>
      <c r="L36" s="27"/>
      <c r="M36" s="27"/>
    </row>
    <row r="37" spans="1:13" ht="14.5">
      <c r="A37" s="2" t="s">
        <v>65</v>
      </c>
      <c r="B37" s="6">
        <v>0.15</v>
      </c>
      <c r="C37" s="6">
        <v>0</v>
      </c>
      <c r="D37" s="35" t="s">
        <v>66</v>
      </c>
      <c r="E37" s="35"/>
      <c r="F37" s="35"/>
      <c r="G37" s="35"/>
      <c r="H37" s="35"/>
      <c r="I37" s="27"/>
      <c r="J37" s="27"/>
      <c r="K37" s="27"/>
      <c r="L37" s="27"/>
      <c r="M37" s="27"/>
    </row>
    <row r="38" spans="1:13" ht="14.5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</row>
    <row r="39" spans="1:13" ht="14.5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</row>
    <row r="40" spans="1:13" ht="16.5">
      <c r="A40" s="29" t="s">
        <v>67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</row>
    <row r="41" spans="1:13" ht="26" customHeight="1">
      <c r="A41" s="1" t="s">
        <v>16</v>
      </c>
      <c r="B41" s="1" t="s">
        <v>68</v>
      </c>
      <c r="C41" s="1" t="s">
        <v>69</v>
      </c>
      <c r="D41" s="1" t="s">
        <v>70</v>
      </c>
      <c r="E41" s="1" t="s">
        <v>71</v>
      </c>
      <c r="F41" s="1" t="s">
        <v>72</v>
      </c>
      <c r="G41" s="1" t="s">
        <v>73</v>
      </c>
      <c r="H41" s="27"/>
      <c r="I41" s="27"/>
      <c r="J41" s="27"/>
      <c r="K41" s="27"/>
      <c r="L41" s="27"/>
      <c r="M41" s="27"/>
    </row>
    <row r="42" spans="1:13" ht="14.5">
      <c r="A42" s="38" t="s">
        <v>23</v>
      </c>
      <c r="B42" s="7">
        <v>5.0118749999999997E-2</v>
      </c>
      <c r="C42" s="7">
        <v>2.2553437499999999E-2</v>
      </c>
      <c r="D42" s="7">
        <v>1.8452812499999999E-2</v>
      </c>
      <c r="E42" s="7">
        <v>5.0118749999999997E-2</v>
      </c>
      <c r="F42" s="7">
        <v>2.2553437499999999E-2</v>
      </c>
      <c r="G42" s="7">
        <v>1.8452812499999999E-2</v>
      </c>
      <c r="H42" s="27"/>
      <c r="I42" s="27"/>
      <c r="J42" s="27"/>
      <c r="K42" s="27"/>
      <c r="L42" s="27"/>
      <c r="M42" s="27"/>
    </row>
    <row r="43" spans="1:13" ht="14.5">
      <c r="A43" s="38" t="s">
        <v>24</v>
      </c>
      <c r="B43" s="7">
        <v>5.0118749999999997E-2</v>
      </c>
      <c r="C43" s="7">
        <v>2.2553437499999999E-2</v>
      </c>
      <c r="D43" s="7">
        <v>1.8452812499999999E-2</v>
      </c>
      <c r="E43" s="7">
        <v>5.0118749999999997E-2</v>
      </c>
      <c r="F43" s="7">
        <v>2.2553437499999999E-2</v>
      </c>
      <c r="G43" s="7">
        <v>1.8452812499999999E-2</v>
      </c>
      <c r="H43" s="27"/>
      <c r="I43" s="27"/>
      <c r="J43" s="27"/>
      <c r="K43" s="27"/>
      <c r="L43" s="27"/>
      <c r="M43" s="27"/>
    </row>
    <row r="44" spans="1:13" ht="14.5">
      <c r="A44" s="38" t="s">
        <v>25</v>
      </c>
      <c r="B44" s="7">
        <v>1.89E-2</v>
      </c>
      <c r="C44" s="7">
        <v>5.6699999999999997E-3</v>
      </c>
      <c r="D44" s="7">
        <v>2.4299999999999999E-3</v>
      </c>
      <c r="E44" s="7">
        <v>1.89E-2</v>
      </c>
      <c r="F44" s="7">
        <v>5.6699999999999997E-3</v>
      </c>
      <c r="G44" s="7">
        <v>2.4299999999999999E-3</v>
      </c>
      <c r="H44" s="27"/>
      <c r="I44" s="27"/>
      <c r="J44" s="27"/>
      <c r="K44" s="27"/>
      <c r="L44" s="27"/>
      <c r="M44" s="27"/>
    </row>
    <row r="45" spans="1:13" ht="14.5">
      <c r="A45" s="38" t="s">
        <v>26</v>
      </c>
      <c r="B45" s="7">
        <v>5.0118749999999997E-2</v>
      </c>
      <c r="C45" s="7">
        <v>2.2553437499999999E-2</v>
      </c>
      <c r="D45" s="7">
        <v>1.8452812499999999E-2</v>
      </c>
      <c r="E45" s="7">
        <v>5.0118749999999997E-2</v>
      </c>
      <c r="F45" s="7">
        <v>2.2553437499999999E-2</v>
      </c>
      <c r="G45" s="7">
        <v>1.8452812499999999E-2</v>
      </c>
      <c r="H45" s="27"/>
      <c r="I45" s="27"/>
      <c r="J45" s="27"/>
      <c r="K45" s="27"/>
      <c r="L45" s="27"/>
      <c r="M45" s="27"/>
    </row>
    <row r="46" spans="1:13" ht="14.5">
      <c r="A46" s="38" t="s">
        <v>27</v>
      </c>
      <c r="B46" s="7">
        <v>5.0118749999999997E-2</v>
      </c>
      <c r="C46" s="7">
        <v>2.2553437499999999E-2</v>
      </c>
      <c r="D46" s="7">
        <v>1.8452812499999999E-2</v>
      </c>
      <c r="E46" s="7">
        <v>5.0118749999999997E-2</v>
      </c>
      <c r="F46" s="7">
        <v>2.2553437499999999E-2</v>
      </c>
      <c r="G46" s="7">
        <v>1.8452812499999999E-2</v>
      </c>
      <c r="H46" s="27"/>
      <c r="I46" s="27"/>
      <c r="J46" s="27"/>
      <c r="K46" s="27"/>
      <c r="L46" s="27"/>
      <c r="M46" s="27"/>
    </row>
    <row r="47" spans="1:13" ht="14.5">
      <c r="A47" s="38" t="s">
        <v>28</v>
      </c>
      <c r="B47" s="7">
        <v>5.0118749999999997E-2</v>
      </c>
      <c r="C47" s="7">
        <v>2.2553437499999999E-2</v>
      </c>
      <c r="D47" s="7">
        <v>1.8452812499999999E-2</v>
      </c>
      <c r="E47" s="7">
        <v>1.89E-2</v>
      </c>
      <c r="F47" s="7">
        <v>4.4549999999999998E-3</v>
      </c>
      <c r="G47" s="7">
        <v>3.6449999999999998E-3</v>
      </c>
      <c r="H47" s="27"/>
      <c r="I47" s="27"/>
      <c r="J47" s="27"/>
      <c r="K47" s="27"/>
      <c r="L47" s="27"/>
      <c r="M47" s="27"/>
    </row>
    <row r="48" spans="1:13" ht="14.5">
      <c r="A48" s="38" t="s">
        <v>29</v>
      </c>
      <c r="B48" s="7">
        <v>5.0118749999999997E-2</v>
      </c>
      <c r="C48" s="7">
        <v>2.2553437499999999E-2</v>
      </c>
      <c r="D48" s="7">
        <v>1.8452812499999999E-2</v>
      </c>
      <c r="E48" s="7">
        <v>1.89E-2</v>
      </c>
      <c r="F48" s="7">
        <v>5.6699999999999997E-3</v>
      </c>
      <c r="G48" s="7">
        <v>2.4299999999999999E-3</v>
      </c>
      <c r="H48" s="27"/>
      <c r="I48" s="27"/>
      <c r="J48" s="27"/>
      <c r="K48" s="27"/>
      <c r="L48" s="27"/>
      <c r="M48" s="27"/>
    </row>
    <row r="49" spans="1:13" ht="14.5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</row>
    <row r="50" spans="1:13" ht="14.5">
      <c r="A50" s="30" t="s">
        <v>59</v>
      </c>
      <c r="B50" s="36" t="s">
        <v>74</v>
      </c>
      <c r="C50" s="36"/>
      <c r="D50" s="36"/>
      <c r="E50" s="36"/>
      <c r="F50" s="36"/>
      <c r="G50" s="36"/>
      <c r="H50" s="36"/>
      <c r="I50" s="27"/>
      <c r="J50" s="27"/>
      <c r="K50" s="27"/>
      <c r="L50" s="27"/>
      <c r="M50" s="27"/>
    </row>
    <row r="51" spans="1:13" ht="14.5">
      <c r="A51" s="30" t="s">
        <v>75</v>
      </c>
      <c r="B51" s="36" t="s">
        <v>76</v>
      </c>
      <c r="C51" s="36"/>
      <c r="D51" s="36"/>
      <c r="E51" s="36"/>
      <c r="F51" s="36"/>
      <c r="G51" s="36"/>
      <c r="H51" s="36"/>
      <c r="I51" s="27"/>
      <c r="J51" s="27"/>
      <c r="K51" s="27"/>
      <c r="L51" s="27"/>
      <c r="M51" s="27"/>
    </row>
    <row r="52" spans="1:13" ht="14.5">
      <c r="A52" s="30" t="s">
        <v>77</v>
      </c>
      <c r="B52" s="36" t="s">
        <v>78</v>
      </c>
      <c r="C52" s="36"/>
      <c r="D52" s="36"/>
      <c r="E52" s="36"/>
      <c r="F52" s="36"/>
      <c r="G52" s="36"/>
      <c r="H52" s="36"/>
      <c r="I52" s="27"/>
      <c r="J52" s="27"/>
      <c r="K52" s="27"/>
      <c r="L52" s="27"/>
      <c r="M52" s="27"/>
    </row>
    <row r="53" spans="1:13" ht="14.5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</row>
    <row r="54" spans="1:13" ht="14.5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</row>
    <row r="55" spans="1:13" ht="14.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</row>
    <row r="56" spans="1:13" ht="14.5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</row>
    <row r="57" spans="1:13" ht="14.5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</row>
    <row r="58" spans="1:13" ht="14.5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</row>
    <row r="59" spans="1:13" ht="14.5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</row>
    <row r="60" spans="1:13" ht="14.5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</row>
    <row r="61" spans="1:13" ht="14.5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</row>
    <row r="62" spans="1:13" ht="14.5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</row>
    <row r="63" spans="1:13" ht="14.5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</row>
    <row r="64" spans="1:13" ht="14.5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</row>
    <row r="65" spans="1:13" ht="14.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</row>
    <row r="66" spans="1:13" ht="14.5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</row>
    <row r="67" spans="1:13" ht="14.5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</row>
    <row r="68" spans="1:13" ht="14.5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</row>
    <row r="69" spans="1:13" ht="14.5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</row>
    <row r="70" spans="1:13" ht="14.5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</row>
  </sheetData>
  <mergeCells count="21">
    <mergeCell ref="D37:H37"/>
    <mergeCell ref="B50:H50"/>
    <mergeCell ref="B51:H51"/>
    <mergeCell ref="B52:H52"/>
    <mergeCell ref="D32:H32"/>
    <mergeCell ref="D33:H33"/>
    <mergeCell ref="D34:H34"/>
    <mergeCell ref="D35:H35"/>
    <mergeCell ref="D36:H36"/>
    <mergeCell ref="C26:D26"/>
    <mergeCell ref="E26:H26"/>
    <mergeCell ref="C27:D27"/>
    <mergeCell ref="E27:H27"/>
    <mergeCell ref="C28:D28"/>
    <mergeCell ref="E28:H28"/>
    <mergeCell ref="C23:D23"/>
    <mergeCell ref="E23:H23"/>
    <mergeCell ref="C24:D24"/>
    <mergeCell ref="E24:H24"/>
    <mergeCell ref="C25:D25"/>
    <mergeCell ref="E25:H25"/>
  </mergeCells>
  <phoneticPr fontId="1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65A75"/>
  </sheetPr>
  <dimension ref="A1:M70"/>
  <sheetViews>
    <sheetView showGridLines="0" topLeftCell="A40" workbookViewId="0"/>
  </sheetViews>
  <sheetFormatPr defaultRowHeight="14"/>
  <cols>
    <col min="1" max="1" width="12.5" customWidth="1"/>
    <col min="2" max="2" width="11.4140625" customWidth="1"/>
    <col min="3" max="3" width="11.83203125" customWidth="1"/>
    <col min="4" max="4" width="12.1640625" customWidth="1"/>
    <col min="5" max="5" width="14.75" customWidth="1"/>
    <col min="6" max="6" width="10.4140625" customWidth="1"/>
    <col min="7" max="7" width="12.1640625" customWidth="1"/>
  </cols>
  <sheetData>
    <row r="1" spans="1:13" ht="20">
      <c r="A1" s="26" t="s">
        <v>79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3" ht="14.5">
      <c r="A2" s="31" t="s">
        <v>80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1:13" ht="14.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4" spans="1:13" ht="16.5">
      <c r="A4" s="29" t="s">
        <v>81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</row>
    <row r="5" spans="1:13" ht="32" customHeight="1">
      <c r="A5" s="8" t="s">
        <v>16</v>
      </c>
      <c r="B5" s="8" t="s">
        <v>82</v>
      </c>
      <c r="C5" s="8" t="s">
        <v>83</v>
      </c>
      <c r="D5" s="8" t="s">
        <v>84</v>
      </c>
      <c r="E5" s="8" t="s">
        <v>85</v>
      </c>
      <c r="F5" s="27"/>
      <c r="G5" s="27"/>
      <c r="H5" s="27"/>
      <c r="I5" s="27"/>
      <c r="J5" s="27"/>
      <c r="K5" s="27"/>
      <c r="L5" s="27"/>
      <c r="M5" s="27"/>
    </row>
    <row r="6" spans="1:13" ht="14.5">
      <c r="A6" s="2" t="s">
        <v>23</v>
      </c>
      <c r="B6" s="9">
        <f>'01_ParSheet'!B13*'01_ParSheet'!B42</f>
        <v>2.5059374999999998E-2</v>
      </c>
      <c r="C6" s="9">
        <f>'01_ParSheet'!C13*'01_ParSheet'!C42</f>
        <v>2.2553437499999999E-2</v>
      </c>
      <c r="D6" s="9">
        <f>'01_ParSheet'!D13*'01_ParSheet'!D42</f>
        <v>0.18452812499999999</v>
      </c>
      <c r="E6" s="9">
        <f t="shared" ref="E6:E12" si="0">SUM(B6:D6)</f>
        <v>0.23214093749999998</v>
      </c>
      <c r="F6" s="27"/>
      <c r="G6" s="27"/>
      <c r="H6" s="27"/>
      <c r="I6" s="27"/>
      <c r="J6" s="27"/>
      <c r="K6" s="27"/>
      <c r="L6" s="27"/>
      <c r="M6" s="27"/>
    </row>
    <row r="7" spans="1:13" ht="14.5">
      <c r="A7" s="2" t="s">
        <v>24</v>
      </c>
      <c r="B7" s="9">
        <f>'01_ParSheet'!B14*'01_ParSheet'!B43</f>
        <v>2.0047499999999999E-2</v>
      </c>
      <c r="C7" s="9">
        <f>'01_ParSheet'!C14*'01_ParSheet'!C43</f>
        <v>1.804275E-2</v>
      </c>
      <c r="D7" s="9">
        <f>'01_ParSheet'!D14*'01_ParSheet'!D43</f>
        <v>0.18452812499999999</v>
      </c>
      <c r="E7" s="9">
        <f t="shared" si="0"/>
        <v>0.22261837499999998</v>
      </c>
      <c r="F7" s="27"/>
      <c r="G7" s="27"/>
      <c r="H7" s="27"/>
      <c r="I7" s="27"/>
      <c r="J7" s="27"/>
      <c r="K7" s="27"/>
      <c r="L7" s="27"/>
      <c r="M7" s="27"/>
    </row>
    <row r="8" spans="1:13" ht="14.5">
      <c r="A8" s="2" t="s">
        <v>25</v>
      </c>
      <c r="B8" s="9">
        <f>'01_ParSheet'!B15*'01_ParSheet'!B44</f>
        <v>7.5600000000000007E-3</v>
      </c>
      <c r="C8" s="9">
        <f>'01_ParSheet'!C15*'01_ParSheet'!C44</f>
        <v>4.5360000000000001E-3</v>
      </c>
      <c r="D8" s="9">
        <f>'01_ParSheet'!D15*'01_ParSheet'!D44</f>
        <v>1.2149999999999999E-2</v>
      </c>
      <c r="E8" s="9">
        <f t="shared" si="0"/>
        <v>2.4246E-2</v>
      </c>
      <c r="F8" s="27"/>
      <c r="G8" s="27"/>
      <c r="H8" s="27"/>
      <c r="I8" s="27"/>
      <c r="J8" s="27"/>
      <c r="K8" s="27"/>
      <c r="L8" s="27"/>
      <c r="M8" s="27"/>
    </row>
    <row r="9" spans="1:13" ht="14.5">
      <c r="A9" s="2" t="s">
        <v>26</v>
      </c>
      <c r="B9" s="9">
        <f>'01_ParSheet'!B16*'01_ParSheet'!B45</f>
        <v>1.5035624999999999E-2</v>
      </c>
      <c r="C9" s="9">
        <f>'01_ParSheet'!C16*'01_ParSheet'!C45</f>
        <v>1.1276718749999999E-2</v>
      </c>
      <c r="D9" s="9">
        <f>'01_ParSheet'!D16*'01_ParSheet'!D45</f>
        <v>9.2264062499999994E-2</v>
      </c>
      <c r="E9" s="9">
        <f t="shared" si="0"/>
        <v>0.11857640624999999</v>
      </c>
      <c r="F9" s="27"/>
      <c r="G9" s="27"/>
      <c r="H9" s="27"/>
      <c r="I9" s="27"/>
      <c r="J9" s="27"/>
      <c r="K9" s="27"/>
      <c r="L9" s="27"/>
      <c r="M9" s="27"/>
    </row>
    <row r="10" spans="1:13" ht="14.5">
      <c r="A10" s="2" t="s">
        <v>27</v>
      </c>
      <c r="B10" s="9">
        <f>'01_ParSheet'!B17*'01_ParSheet'!B46</f>
        <v>1.5035624999999999E-2</v>
      </c>
      <c r="C10" s="9">
        <f>'01_ParSheet'!C17*'01_ParSheet'!C46</f>
        <v>1.1276718749999999E-2</v>
      </c>
      <c r="D10" s="9">
        <f>'01_ParSheet'!D17*'01_ParSheet'!D46</f>
        <v>9.2264062499999994E-2</v>
      </c>
      <c r="E10" s="9">
        <f t="shared" si="0"/>
        <v>0.11857640624999999</v>
      </c>
      <c r="F10" s="27"/>
      <c r="G10" s="27"/>
      <c r="H10" s="27"/>
      <c r="I10" s="27"/>
      <c r="J10" s="27"/>
      <c r="K10" s="27"/>
      <c r="L10" s="27"/>
      <c r="M10" s="27"/>
    </row>
    <row r="11" spans="1:13" ht="14.5">
      <c r="A11" s="2" t="s">
        <v>28</v>
      </c>
      <c r="B11" s="9">
        <f>'01_ParSheet'!B18*'01_ParSheet'!B47</f>
        <v>1.5035624999999999E-2</v>
      </c>
      <c r="C11" s="9">
        <f>'01_ParSheet'!C18*'01_ParSheet'!C47</f>
        <v>1.1276718749999999E-2</v>
      </c>
      <c r="D11" s="9">
        <f>'01_ParSheet'!D18*'01_ParSheet'!D47</f>
        <v>9.2264062499999994E-2</v>
      </c>
      <c r="E11" s="9">
        <f t="shared" si="0"/>
        <v>0.11857640624999999</v>
      </c>
      <c r="F11" s="27"/>
      <c r="G11" s="27"/>
      <c r="H11" s="27"/>
      <c r="I11" s="27"/>
      <c r="J11" s="27"/>
      <c r="K11" s="27"/>
      <c r="L11" s="27"/>
      <c r="M11" s="27"/>
    </row>
    <row r="12" spans="1:13" ht="14.5">
      <c r="A12" s="2" t="s">
        <v>29</v>
      </c>
      <c r="B12" s="9">
        <f>'01_ParSheet'!B19*'01_ParSheet'!B48</f>
        <v>1.5035624999999999E-2</v>
      </c>
      <c r="C12" s="9">
        <f>'01_ParSheet'!C19*'01_ParSheet'!C48</f>
        <v>1.1276718749999999E-2</v>
      </c>
      <c r="D12" s="9">
        <f>'01_ParSheet'!D19*'01_ParSheet'!D48</f>
        <v>9.2264062499999994E-2</v>
      </c>
      <c r="E12" s="9">
        <f t="shared" si="0"/>
        <v>0.11857640624999999</v>
      </c>
      <c r="F12" s="27"/>
      <c r="G12" s="27"/>
      <c r="H12" s="27"/>
      <c r="I12" s="27"/>
      <c r="J12" s="27"/>
      <c r="K12" s="27"/>
      <c r="L12" s="27"/>
      <c r="M12" s="27"/>
    </row>
    <row r="13" spans="1:13" ht="14.5">
      <c r="A13" s="12" t="s">
        <v>86</v>
      </c>
      <c r="B13" s="13">
        <f>SUM(B6:B12)</f>
        <v>0.11280937499999999</v>
      </c>
      <c r="C13" s="13">
        <f>SUM(C6:C12)</f>
        <v>9.0239062499999995E-2</v>
      </c>
      <c r="D13" s="13">
        <f>SUM(D6:D12)</f>
        <v>0.75026249999999983</v>
      </c>
      <c r="E13" s="13">
        <f>SUM(E6:E12)</f>
        <v>0.95331093749999984</v>
      </c>
      <c r="F13" s="27"/>
      <c r="G13" s="27"/>
      <c r="H13" s="27"/>
      <c r="I13" s="27"/>
      <c r="J13" s="27"/>
      <c r="K13" s="27"/>
      <c r="L13" s="27"/>
      <c r="M13" s="27"/>
    </row>
    <row r="14" spans="1:13" ht="14.5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</row>
    <row r="15" spans="1:13" ht="14.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</row>
    <row r="16" spans="1:13" ht="16.5">
      <c r="A16" s="29" t="s">
        <v>87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</row>
    <row r="17" spans="1:13" ht="32" customHeight="1">
      <c r="A17" s="8" t="s">
        <v>16</v>
      </c>
      <c r="B17" s="8" t="s">
        <v>82</v>
      </c>
      <c r="C17" s="8" t="s">
        <v>83</v>
      </c>
      <c r="D17" s="8" t="s">
        <v>84</v>
      </c>
      <c r="E17" s="8" t="s">
        <v>85</v>
      </c>
      <c r="F17" s="27"/>
      <c r="G17" s="27"/>
      <c r="H17" s="27"/>
      <c r="I17" s="27"/>
      <c r="J17" s="27"/>
      <c r="K17" s="27"/>
      <c r="L17" s="27"/>
      <c r="M17" s="27"/>
    </row>
    <row r="18" spans="1:13" ht="14.5">
      <c r="A18" s="2" t="s">
        <v>23</v>
      </c>
      <c r="B18" s="9">
        <f>'01_ParSheet'!E13*'01_ParSheet'!E42</f>
        <v>3.0071249999999997E-2</v>
      </c>
      <c r="C18" s="9">
        <f>'01_ParSheet'!F13*'01_ParSheet'!F42</f>
        <v>2.2553437499999999E-2</v>
      </c>
      <c r="D18" s="9">
        <f>'01_ParSheet'!G13*'01_ParSheet'!G42</f>
        <v>0.18452812499999999</v>
      </c>
      <c r="E18" s="9">
        <f t="shared" ref="E18:E24" si="1">SUM(B18:D18)</f>
        <v>0.23715281249999998</v>
      </c>
      <c r="F18" s="27"/>
      <c r="G18" s="27"/>
      <c r="H18" s="27"/>
      <c r="I18" s="27"/>
      <c r="J18" s="27"/>
      <c r="K18" s="27"/>
      <c r="L18" s="27"/>
      <c r="M18" s="27"/>
    </row>
    <row r="19" spans="1:13" ht="14.5">
      <c r="A19" s="2" t="s">
        <v>24</v>
      </c>
      <c r="B19" s="9">
        <f>'01_ParSheet'!E14*'01_ParSheet'!E43</f>
        <v>2.0047499999999999E-2</v>
      </c>
      <c r="C19" s="9">
        <f>'01_ParSheet'!F14*'01_ParSheet'!F43</f>
        <v>1.804275E-2</v>
      </c>
      <c r="D19" s="9">
        <f>'01_ParSheet'!G14*'01_ParSheet'!G43</f>
        <v>0.18452812499999999</v>
      </c>
      <c r="E19" s="9">
        <f t="shared" si="1"/>
        <v>0.22261837499999998</v>
      </c>
      <c r="F19" s="27"/>
      <c r="G19" s="27"/>
      <c r="H19" s="27"/>
      <c r="I19" s="27"/>
      <c r="J19" s="27"/>
      <c r="K19" s="27"/>
      <c r="L19" s="27"/>
      <c r="M19" s="27"/>
    </row>
    <row r="20" spans="1:13" ht="14.5">
      <c r="A20" s="2" t="s">
        <v>25</v>
      </c>
      <c r="B20" s="9">
        <f>'01_ParSheet'!E15*'01_ParSheet'!E44</f>
        <v>7.5600000000000007E-3</v>
      </c>
      <c r="C20" s="9">
        <f>'01_ParSheet'!F15*'01_ParSheet'!F44</f>
        <v>4.5360000000000001E-3</v>
      </c>
      <c r="D20" s="9">
        <f>'01_ParSheet'!G15*'01_ParSheet'!G44</f>
        <v>2.4299999999999999E-2</v>
      </c>
      <c r="E20" s="9">
        <f t="shared" si="1"/>
        <v>3.6395999999999998E-2</v>
      </c>
      <c r="F20" s="27"/>
      <c r="G20" s="27"/>
      <c r="H20" s="27"/>
      <c r="I20" s="27"/>
      <c r="J20" s="27"/>
      <c r="K20" s="27"/>
      <c r="L20" s="27"/>
      <c r="M20" s="27"/>
    </row>
    <row r="21" spans="1:13" ht="14.5">
      <c r="A21" s="2" t="s">
        <v>26</v>
      </c>
      <c r="B21" s="9">
        <f>'01_ParSheet'!E16*'01_ParSheet'!E45</f>
        <v>1.5035624999999999E-2</v>
      </c>
      <c r="C21" s="9">
        <f>'01_ParSheet'!F16*'01_ParSheet'!F45</f>
        <v>1.804275E-2</v>
      </c>
      <c r="D21" s="9">
        <f>'01_ParSheet'!G16*'01_ParSheet'!G45</f>
        <v>9.2264062499999994E-2</v>
      </c>
      <c r="E21" s="9">
        <f t="shared" si="1"/>
        <v>0.12534243749999999</v>
      </c>
      <c r="F21" s="27"/>
      <c r="G21" s="27"/>
      <c r="H21" s="27"/>
      <c r="I21" s="27"/>
      <c r="J21" s="27"/>
      <c r="K21" s="27"/>
      <c r="L21" s="27"/>
      <c r="M21" s="27"/>
    </row>
    <row r="22" spans="1:13" ht="14.5">
      <c r="A22" s="2" t="s">
        <v>27</v>
      </c>
      <c r="B22" s="9">
        <f>'01_ParSheet'!E17*'01_ParSheet'!E46</f>
        <v>1.5035624999999999E-2</v>
      </c>
      <c r="C22" s="9">
        <f>'01_ParSheet'!F17*'01_ParSheet'!F46</f>
        <v>1.804275E-2</v>
      </c>
      <c r="D22" s="9">
        <f>'01_ParSheet'!G17*'01_ParSheet'!G46</f>
        <v>9.2264062499999994E-2</v>
      </c>
      <c r="E22" s="9">
        <f t="shared" si="1"/>
        <v>0.12534243749999999</v>
      </c>
      <c r="F22" s="27"/>
      <c r="G22" s="27"/>
      <c r="H22" s="27"/>
      <c r="I22" s="27"/>
      <c r="J22" s="27"/>
      <c r="K22" s="27"/>
      <c r="L22" s="27"/>
      <c r="M22" s="27"/>
    </row>
    <row r="23" spans="1:13" ht="14.5">
      <c r="A23" s="2" t="s">
        <v>28</v>
      </c>
      <c r="B23" s="9">
        <f>'01_ParSheet'!E18*'01_ParSheet'!E47</f>
        <v>5.6699999999999997E-3</v>
      </c>
      <c r="C23" s="9">
        <f>'01_ParSheet'!F18*'01_ParSheet'!F47</f>
        <v>3.5639999999999999E-3</v>
      </c>
      <c r="D23" s="9">
        <f>'01_ParSheet'!G18*'01_ParSheet'!G47</f>
        <v>1.8224999999999998E-2</v>
      </c>
      <c r="E23" s="9">
        <f t="shared" si="1"/>
        <v>2.7458999999999997E-2</v>
      </c>
      <c r="F23" s="27"/>
      <c r="G23" s="27"/>
      <c r="H23" s="27"/>
      <c r="I23" s="27"/>
      <c r="J23" s="27"/>
      <c r="K23" s="27"/>
      <c r="L23" s="27"/>
      <c r="M23" s="27"/>
    </row>
    <row r="24" spans="1:13" ht="14.5">
      <c r="A24" s="2" t="s">
        <v>29</v>
      </c>
      <c r="B24" s="9">
        <f>'01_ParSheet'!E19*'01_ParSheet'!E48</f>
        <v>5.6699999999999997E-3</v>
      </c>
      <c r="C24" s="9">
        <f>'01_ParSheet'!F19*'01_ParSheet'!F48</f>
        <v>4.5360000000000001E-3</v>
      </c>
      <c r="D24" s="9">
        <f>'01_ParSheet'!G19*'01_ParSheet'!G48</f>
        <v>1.2149999999999999E-2</v>
      </c>
      <c r="E24" s="9">
        <f t="shared" si="1"/>
        <v>2.2356000000000001E-2</v>
      </c>
      <c r="F24" s="27"/>
      <c r="G24" s="27"/>
      <c r="H24" s="27"/>
      <c r="I24" s="27"/>
      <c r="J24" s="27"/>
      <c r="K24" s="27"/>
      <c r="L24" s="27"/>
      <c r="M24" s="27"/>
    </row>
    <row r="25" spans="1:13" ht="14.5">
      <c r="A25" s="12" t="s">
        <v>88</v>
      </c>
      <c r="B25" s="13">
        <f>SUM(B18:B24)</f>
        <v>9.9089999999999984E-2</v>
      </c>
      <c r="C25" s="13">
        <f>SUM(C18:C24)</f>
        <v>8.9317687499999993E-2</v>
      </c>
      <c r="D25" s="13">
        <f>SUM(D18:D24)</f>
        <v>0.60825937499999994</v>
      </c>
      <c r="E25" s="13">
        <f>SUM(E18:E24)</f>
        <v>0.79666706249999997</v>
      </c>
      <c r="F25" s="27"/>
      <c r="G25" s="27"/>
      <c r="H25" s="27"/>
      <c r="I25" s="27"/>
      <c r="J25" s="27"/>
      <c r="K25" s="27"/>
      <c r="L25" s="27"/>
      <c r="M25" s="27"/>
    </row>
    <row r="26" spans="1:13" ht="14.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</row>
    <row r="27" spans="1:13" ht="14.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</row>
    <row r="28" spans="1:13" ht="16.5">
      <c r="A28" s="29" t="s">
        <v>89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</row>
    <row r="29" spans="1:13" ht="32" customHeight="1">
      <c r="A29" s="8" t="s">
        <v>16</v>
      </c>
      <c r="B29" s="8" t="s">
        <v>90</v>
      </c>
      <c r="C29" s="8" t="s">
        <v>91</v>
      </c>
      <c r="D29" s="8" t="s">
        <v>92</v>
      </c>
      <c r="E29" s="8" t="s">
        <v>93</v>
      </c>
      <c r="F29" s="8" t="s">
        <v>94</v>
      </c>
      <c r="G29" s="8" t="s">
        <v>95</v>
      </c>
      <c r="H29" s="27"/>
      <c r="I29" s="27"/>
      <c r="J29" s="27"/>
      <c r="K29" s="27"/>
      <c r="L29" s="27"/>
      <c r="M29" s="27"/>
    </row>
    <row r="30" spans="1:13" ht="14.5">
      <c r="A30" s="2" t="s">
        <v>96</v>
      </c>
      <c r="B30" s="2">
        <f>COUNTIF('01_ParSheet'!B33:B37,"&gt;0")</f>
        <v>5</v>
      </c>
      <c r="C30" s="9">
        <f>SUM('01_ParSheet'!B33:B37)/B30</f>
        <v>0.15</v>
      </c>
      <c r="D30" s="9">
        <f>COMBIN(B30,3)*C30^3*(1-C30)^(B30-3)</f>
        <v>2.4384375E-2</v>
      </c>
      <c r="E30" s="9">
        <f>COMBIN(B30,4)*C30^4*(1-C30)^(B30-4)</f>
        <v>2.1515624999999998E-3</v>
      </c>
      <c r="F30" s="9">
        <f>IF(B30&lt;5,0,COMBIN(B30,5)*C30^5*(1-C30)^(B30-5))</f>
        <v>7.5937499999999996E-5</v>
      </c>
      <c r="G30" s="9">
        <f>SUM(D30:F30)</f>
        <v>2.6611875E-2</v>
      </c>
      <c r="H30" s="27"/>
      <c r="I30" s="27"/>
      <c r="J30" s="27"/>
      <c r="K30" s="27"/>
      <c r="L30" s="27"/>
      <c r="M30" s="27"/>
    </row>
    <row r="31" spans="1:13" ht="14.5">
      <c r="A31" s="2" t="s">
        <v>97</v>
      </c>
      <c r="B31" s="2">
        <f>COUNTIF('01_ParSheet'!C33:C37,"&gt;0")</f>
        <v>4</v>
      </c>
      <c r="C31" s="9">
        <f>SUM('01_ParSheet'!C33:C37)/B31</f>
        <v>0.15</v>
      </c>
      <c r="D31" s="9">
        <f>COMBIN(B31,3)*C31^3*(1-C31)^(B31-3)</f>
        <v>1.1474999999999999E-2</v>
      </c>
      <c r="E31" s="9">
        <f>COMBIN(B31,4)*C31^4*(1-C31)^(B31-4)</f>
        <v>5.0624999999999997E-4</v>
      </c>
      <c r="F31" s="9">
        <f>IF(B31&lt;5,0,COMBIN(B31,5)*C31^5*(1-C31)^(B31-5))</f>
        <v>0</v>
      </c>
      <c r="G31" s="9">
        <f>SUM(D31:F31)</f>
        <v>1.1981249999999999E-2</v>
      </c>
      <c r="H31" s="27"/>
      <c r="I31" s="27"/>
      <c r="J31" s="27"/>
      <c r="K31" s="27"/>
      <c r="L31" s="27"/>
      <c r="M31" s="27"/>
    </row>
    <row r="32" spans="1:13" ht="14.5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</row>
    <row r="33" spans="1:13" ht="14.5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</row>
    <row r="34" spans="1:13" ht="16.5">
      <c r="A34" s="29" t="s">
        <v>98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</row>
    <row r="35" spans="1:13" ht="32" customHeight="1">
      <c r="A35" s="8" t="s">
        <v>75</v>
      </c>
      <c r="B35" s="8" t="s">
        <v>99</v>
      </c>
      <c r="C35" s="8" t="s">
        <v>100</v>
      </c>
      <c r="D35" s="8" t="s">
        <v>101</v>
      </c>
      <c r="E35" s="8" t="s">
        <v>59</v>
      </c>
      <c r="F35" s="27"/>
      <c r="G35" s="27"/>
      <c r="H35" s="27"/>
      <c r="I35" s="27"/>
      <c r="J35" s="27"/>
      <c r="K35" s="27"/>
      <c r="L35" s="27"/>
      <c r="M35" s="27"/>
    </row>
    <row r="36" spans="1:13" ht="14.5">
      <c r="A36" s="2" t="s">
        <v>102</v>
      </c>
      <c r="B36" s="14">
        <v>1.1903E-2</v>
      </c>
      <c r="C36" s="15">
        <v>9.5063999999999993</v>
      </c>
      <c r="D36" s="16">
        <f>B36*C36</f>
        <v>0.1131546792</v>
      </c>
      <c r="E36" s="2" t="s">
        <v>103</v>
      </c>
      <c r="F36" s="27"/>
      <c r="G36" s="27"/>
      <c r="H36" s="27"/>
      <c r="I36" s="27"/>
      <c r="J36" s="27"/>
      <c r="K36" s="27"/>
      <c r="L36" s="27"/>
      <c r="M36" s="27"/>
    </row>
    <row r="37" spans="1:13" ht="14.5">
      <c r="A37" s="2" t="s">
        <v>104</v>
      </c>
      <c r="B37" s="14">
        <v>2.1703E-2</v>
      </c>
      <c r="C37" s="15">
        <v>0.93</v>
      </c>
      <c r="D37" s="16">
        <f>B37*C37</f>
        <v>2.018379E-2</v>
      </c>
      <c r="E37" s="2" t="s">
        <v>105</v>
      </c>
      <c r="F37" s="27"/>
      <c r="G37" s="27"/>
      <c r="H37" s="27"/>
      <c r="I37" s="27"/>
      <c r="J37" s="27"/>
      <c r="K37" s="27"/>
      <c r="L37" s="27"/>
      <c r="M37" s="27"/>
    </row>
    <row r="38" spans="1:13" ht="14.5">
      <c r="A38" s="10" t="s">
        <v>106</v>
      </c>
      <c r="B38" s="10"/>
      <c r="C38" s="10"/>
      <c r="D38" s="17">
        <f>SUM(D36:D37)</f>
        <v>0.1333384692</v>
      </c>
      <c r="E38" s="10" t="s">
        <v>107</v>
      </c>
      <c r="F38" s="27"/>
      <c r="G38" s="27"/>
      <c r="H38" s="27"/>
      <c r="I38" s="27"/>
      <c r="J38" s="27"/>
      <c r="K38" s="27"/>
      <c r="L38" s="27"/>
      <c r="M38" s="27"/>
    </row>
    <row r="39" spans="1:13" ht="14.5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</row>
    <row r="40" spans="1:13" ht="14.5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</row>
    <row r="41" spans="1:13" ht="16.5">
      <c r="A41" s="29" t="s">
        <v>108</v>
      </c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</row>
    <row r="42" spans="1:13" ht="32" customHeight="1">
      <c r="A42" s="8" t="s">
        <v>109</v>
      </c>
      <c r="B42" s="8" t="s">
        <v>110</v>
      </c>
      <c r="C42" s="8" t="s">
        <v>98</v>
      </c>
      <c r="D42" s="8" t="s">
        <v>111</v>
      </c>
      <c r="E42" s="8" t="s">
        <v>77</v>
      </c>
      <c r="F42" s="27"/>
      <c r="G42" s="27"/>
      <c r="H42" s="27"/>
      <c r="I42" s="27"/>
      <c r="J42" s="27"/>
      <c r="K42" s="27"/>
      <c r="L42" s="27"/>
      <c r="M42" s="27"/>
    </row>
    <row r="43" spans="1:13" ht="14.5">
      <c r="A43" s="2" t="s">
        <v>4</v>
      </c>
      <c r="B43" s="9">
        <f>E13</f>
        <v>0.95331093749999984</v>
      </c>
      <c r="C43" s="9">
        <f>0</f>
        <v>0</v>
      </c>
      <c r="D43" s="9">
        <f>B43+C43</f>
        <v>0.95331093749999984</v>
      </c>
      <c r="E43" s="2" t="s">
        <v>112</v>
      </c>
      <c r="F43" s="27"/>
      <c r="G43" s="27"/>
      <c r="H43" s="27"/>
      <c r="I43" s="27"/>
      <c r="J43" s="27"/>
      <c r="K43" s="27"/>
      <c r="L43" s="27"/>
      <c r="M43" s="27"/>
    </row>
    <row r="44" spans="1:13" ht="14.5">
      <c r="A44" s="10" t="s">
        <v>5</v>
      </c>
      <c r="B44" s="11">
        <f>E25</f>
        <v>0.79666706249999997</v>
      </c>
      <c r="C44" s="11">
        <f>D38</f>
        <v>0.1333384692</v>
      </c>
      <c r="D44" s="11">
        <f>B44+C44</f>
        <v>0.9300055317</v>
      </c>
      <c r="E44" s="10" t="s">
        <v>113</v>
      </c>
      <c r="F44" s="27"/>
      <c r="G44" s="27"/>
      <c r="H44" s="27"/>
      <c r="I44" s="27"/>
      <c r="J44" s="27"/>
      <c r="K44" s="27"/>
      <c r="L44" s="27"/>
      <c r="M44" s="27"/>
    </row>
    <row r="45" spans="1:13" ht="14.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</row>
    <row r="46" spans="1:13" ht="14.5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</row>
    <row r="47" spans="1:13" ht="16.5">
      <c r="A47" s="29" t="s">
        <v>114</v>
      </c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</row>
    <row r="48" spans="1:13" ht="32" customHeight="1">
      <c r="A48" s="8" t="s">
        <v>3</v>
      </c>
      <c r="B48" s="8" t="s">
        <v>115</v>
      </c>
      <c r="C48" s="8" t="s">
        <v>116</v>
      </c>
      <c r="D48" s="8" t="s">
        <v>59</v>
      </c>
      <c r="E48" s="27"/>
      <c r="F48" s="27"/>
      <c r="G48" s="27"/>
      <c r="H48" s="27"/>
      <c r="I48" s="27"/>
      <c r="J48" s="27"/>
      <c r="K48" s="27"/>
      <c r="L48" s="27"/>
      <c r="M48" s="27"/>
    </row>
    <row r="49" spans="1:13" ht="14.5">
      <c r="A49" s="2" t="s">
        <v>117</v>
      </c>
      <c r="B49" s="15">
        <v>10.5</v>
      </c>
      <c r="C49" s="2" t="s">
        <v>118</v>
      </c>
      <c r="D49" s="2" t="s">
        <v>119</v>
      </c>
      <c r="E49" s="27"/>
      <c r="F49" s="27"/>
      <c r="G49" s="27"/>
      <c r="H49" s="27"/>
      <c r="I49" s="27"/>
      <c r="J49" s="27"/>
      <c r="K49" s="27"/>
      <c r="L49" s="27"/>
      <c r="M49" s="27"/>
    </row>
    <row r="50" spans="1:13" ht="14.5">
      <c r="A50" s="2" t="s">
        <v>120</v>
      </c>
      <c r="B50" s="18">
        <f>C36</f>
        <v>9.5063999999999993</v>
      </c>
      <c r="C50" s="2" t="s">
        <v>118</v>
      </c>
      <c r="D50" s="2" t="s">
        <v>121</v>
      </c>
      <c r="E50" s="27"/>
      <c r="F50" s="27"/>
      <c r="G50" s="27"/>
      <c r="H50" s="27"/>
      <c r="I50" s="27"/>
      <c r="J50" s="27"/>
      <c r="K50" s="27"/>
      <c r="L50" s="27"/>
      <c r="M50" s="27"/>
    </row>
    <row r="51" spans="1:13" ht="14.5">
      <c r="A51" s="2" t="s">
        <v>122</v>
      </c>
      <c r="B51" s="16">
        <f>B50/B49</f>
        <v>0.90537142857142849</v>
      </c>
      <c r="C51" s="2" t="s">
        <v>123</v>
      </c>
      <c r="D51" s="2" t="s">
        <v>124</v>
      </c>
      <c r="E51" s="27"/>
      <c r="F51" s="27"/>
      <c r="G51" s="27"/>
      <c r="H51" s="27"/>
      <c r="I51" s="27"/>
      <c r="J51" s="27"/>
      <c r="K51" s="27"/>
      <c r="L51" s="27"/>
      <c r="M51" s="27"/>
    </row>
    <row r="52" spans="1:13" ht="14.5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</row>
    <row r="53" spans="1:13" ht="14.5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</row>
    <row r="54" spans="1:13" ht="16.5">
      <c r="A54" s="29" t="s">
        <v>125</v>
      </c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</row>
    <row r="55" spans="1:13" ht="32" customHeight="1">
      <c r="A55" s="8" t="s">
        <v>126</v>
      </c>
      <c r="B55" s="8" t="s">
        <v>127</v>
      </c>
      <c r="C55" s="8" t="s">
        <v>128</v>
      </c>
      <c r="D55" s="27"/>
      <c r="E55" s="27"/>
      <c r="F55" s="27"/>
      <c r="G55" s="27"/>
      <c r="H55" s="27"/>
      <c r="I55" s="27"/>
      <c r="J55" s="27"/>
      <c r="K55" s="27"/>
      <c r="L55" s="27"/>
      <c r="M55" s="27"/>
    </row>
    <row r="56" spans="1:13" ht="14.5">
      <c r="A56" s="2" t="s">
        <v>129</v>
      </c>
      <c r="B56" s="2" t="str">
        <f>IF(ABS(D44-0.93)&lt;=0.0001,"PASS","FAIL")</f>
        <v>PASS</v>
      </c>
      <c r="C56" s="2" t="s">
        <v>130</v>
      </c>
      <c r="D56" s="27"/>
      <c r="E56" s="27"/>
      <c r="F56" s="27"/>
      <c r="G56" s="27"/>
      <c r="H56" s="27"/>
      <c r="I56" s="27"/>
      <c r="J56" s="27"/>
      <c r="K56" s="27"/>
      <c r="L56" s="27"/>
      <c r="M56" s="27"/>
    </row>
    <row r="57" spans="1:13" ht="14.5">
      <c r="A57" s="2" t="s">
        <v>114</v>
      </c>
      <c r="B57" s="2" t="str">
        <f>IF(AND(B51&gt;=0.9,B51&lt;=0.95),"PASS","FAIL")</f>
        <v>PASS</v>
      </c>
      <c r="C57" s="2" t="s">
        <v>131</v>
      </c>
      <c r="D57" s="27"/>
      <c r="E57" s="27"/>
      <c r="F57" s="27"/>
      <c r="G57" s="27"/>
      <c r="H57" s="27"/>
      <c r="I57" s="27"/>
      <c r="J57" s="27"/>
      <c r="K57" s="27"/>
      <c r="L57" s="27"/>
      <c r="M57" s="27"/>
    </row>
    <row r="58" spans="1:13" ht="14.5">
      <c r="A58" s="2" t="s">
        <v>132</v>
      </c>
      <c r="B58" s="2" t="str">
        <f>IF(ABS(G30-0.026612)&lt;=0.000001,"PASS","FAIL")</f>
        <v>PASS</v>
      </c>
      <c r="C58" s="2" t="s">
        <v>133</v>
      </c>
      <c r="D58" s="27"/>
      <c r="E58" s="27"/>
      <c r="F58" s="27"/>
      <c r="G58" s="27"/>
      <c r="H58" s="27"/>
      <c r="I58" s="27"/>
      <c r="J58" s="27"/>
      <c r="K58" s="27"/>
      <c r="L58" s="27"/>
      <c r="M58" s="27"/>
    </row>
    <row r="59" spans="1:13" ht="14.5">
      <c r="A59" s="2" t="s">
        <v>134</v>
      </c>
      <c r="B59" s="2" t="str">
        <f>IF(ABS(G31-0.011981)&lt;=0.000001,"PASS","FAIL")</f>
        <v>PASS</v>
      </c>
      <c r="C59" s="2" t="s">
        <v>135</v>
      </c>
      <c r="D59" s="27"/>
      <c r="E59" s="27"/>
      <c r="F59" s="27"/>
      <c r="G59" s="27"/>
      <c r="H59" s="27"/>
      <c r="I59" s="27"/>
      <c r="J59" s="27"/>
      <c r="K59" s="27"/>
      <c r="L59" s="27"/>
      <c r="M59" s="27"/>
    </row>
    <row r="60" spans="1:13" ht="14.5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</row>
    <row r="61" spans="1:13" ht="14.5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</row>
    <row r="62" spans="1:13" ht="14.5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</row>
    <row r="63" spans="1:13" ht="14.5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</row>
    <row r="64" spans="1:13" ht="14.5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</row>
    <row r="65" spans="1:13" ht="14.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</row>
    <row r="66" spans="1:13" ht="14.5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</row>
    <row r="67" spans="1:13" ht="14.5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</row>
    <row r="68" spans="1:13" ht="14.5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</row>
    <row r="69" spans="1:13" ht="14.5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</row>
    <row r="70" spans="1:13" ht="14.5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</row>
  </sheetData>
  <phoneticPr fontId="15" type="noConversion"/>
  <conditionalFormatting sqref="B56:B59">
    <cfRule type="containsText" dxfId="1" priority="1" operator="containsText" text="FAIL"/>
    <cfRule type="containsText" dxfId="0" priority="2" operator="containsText" text="PASS"/>
  </conditionalFormatting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F3E46"/>
  </sheetPr>
  <dimension ref="A1:M70"/>
  <sheetViews>
    <sheetView showGridLines="0" tabSelected="1" topLeftCell="A15" workbookViewId="0">
      <selection activeCell="C21" sqref="C21"/>
    </sheetView>
  </sheetViews>
  <sheetFormatPr defaultRowHeight="14"/>
  <cols>
    <col min="1" max="1" width="16.4140625" customWidth="1"/>
    <col min="2" max="3" width="16" customWidth="1"/>
    <col min="4" max="4" width="18" customWidth="1"/>
    <col min="5" max="5" width="52" customWidth="1"/>
  </cols>
  <sheetData>
    <row r="1" spans="1:13" ht="20">
      <c r="A1" s="26" t="s">
        <v>136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3" ht="14.5">
      <c r="A2" s="31" t="s">
        <v>137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1:13" ht="14.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4" spans="1:13" ht="16.5">
      <c r="A4" s="29" t="s">
        <v>138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</row>
    <row r="5" spans="1:13" ht="32" customHeight="1">
      <c r="A5" s="8" t="s">
        <v>139</v>
      </c>
      <c r="B5" s="8" t="s">
        <v>4</v>
      </c>
      <c r="C5" s="8" t="s">
        <v>5</v>
      </c>
      <c r="D5" s="8" t="s">
        <v>140</v>
      </c>
      <c r="E5" s="27"/>
      <c r="F5" s="27"/>
      <c r="G5" s="27"/>
      <c r="H5" s="27"/>
      <c r="I5" s="27"/>
      <c r="J5" s="27"/>
      <c r="K5" s="27"/>
      <c r="L5" s="27"/>
      <c r="M5" s="27"/>
    </row>
    <row r="6" spans="1:13" ht="14.5">
      <c r="A6" s="12" t="s">
        <v>111</v>
      </c>
      <c r="B6" s="24">
        <f>'02_RTP计算'!D43</f>
        <v>0.95331093749999984</v>
      </c>
      <c r="C6" s="24">
        <f>'02_RTP计算'!D44</f>
        <v>0.9300055317</v>
      </c>
      <c r="D6" s="25">
        <f t="shared" ref="D6:D12" si="0">C6-B6</f>
        <v>-2.3305405799999845E-2</v>
      </c>
      <c r="E6" s="27"/>
      <c r="F6" s="27"/>
      <c r="G6" s="27"/>
      <c r="H6" s="27"/>
      <c r="I6" s="27"/>
      <c r="J6" s="27"/>
      <c r="K6" s="27"/>
      <c r="L6" s="27"/>
      <c r="M6" s="27"/>
    </row>
    <row r="7" spans="1:13" ht="14.5">
      <c r="A7" s="2" t="s">
        <v>141</v>
      </c>
      <c r="B7" s="5">
        <v>0.95405899999999999</v>
      </c>
      <c r="C7" s="5">
        <v>0.92943600000000004</v>
      </c>
      <c r="D7" s="19">
        <f t="shared" si="0"/>
        <v>-2.462299999999995E-2</v>
      </c>
      <c r="E7" s="27"/>
      <c r="F7" s="27"/>
      <c r="G7" s="27"/>
      <c r="H7" s="27"/>
      <c r="I7" s="27"/>
      <c r="J7" s="27"/>
      <c r="K7" s="27"/>
      <c r="L7" s="27"/>
      <c r="M7" s="27"/>
    </row>
    <row r="8" spans="1:13" ht="14.5">
      <c r="A8" s="2" t="s">
        <v>110</v>
      </c>
      <c r="B8" s="5">
        <f>'02_RTP计算'!B43</f>
        <v>0.95331093749999984</v>
      </c>
      <c r="C8" s="5">
        <f>'02_RTP计算'!B44</f>
        <v>0.79666706249999997</v>
      </c>
      <c r="D8" s="19">
        <f t="shared" si="0"/>
        <v>-0.15664387499999988</v>
      </c>
      <c r="E8" s="27"/>
      <c r="F8" s="27"/>
      <c r="G8" s="27"/>
      <c r="H8" s="27"/>
      <c r="I8" s="27"/>
      <c r="J8" s="27"/>
      <c r="K8" s="27"/>
      <c r="L8" s="27"/>
      <c r="M8" s="27"/>
    </row>
    <row r="9" spans="1:13" ht="14.5">
      <c r="A9" s="2" t="s">
        <v>98</v>
      </c>
      <c r="B9" s="5">
        <f>'02_RTP计算'!C43</f>
        <v>0</v>
      </c>
      <c r="C9" s="5">
        <f>'02_RTP计算'!C44</f>
        <v>0.1333384692</v>
      </c>
      <c r="D9" s="19">
        <f t="shared" si="0"/>
        <v>0.1333384692</v>
      </c>
      <c r="E9" s="27"/>
      <c r="F9" s="27"/>
      <c r="G9" s="27"/>
      <c r="H9" s="27"/>
      <c r="I9" s="27"/>
      <c r="J9" s="27"/>
      <c r="K9" s="27"/>
      <c r="L9" s="27"/>
      <c r="M9" s="27"/>
    </row>
    <row r="10" spans="1:13" ht="14.5">
      <c r="A10" s="2" t="s">
        <v>142</v>
      </c>
      <c r="B10" s="5">
        <v>0.41554600000000003</v>
      </c>
      <c r="C10" s="5">
        <v>0.36071999999999999</v>
      </c>
      <c r="D10" s="20">
        <f t="shared" si="0"/>
        <v>-5.4826000000000041E-2</v>
      </c>
      <c r="E10" s="27"/>
      <c r="F10" s="27"/>
      <c r="G10" s="27"/>
      <c r="H10" s="27"/>
      <c r="I10" s="27"/>
      <c r="J10" s="27"/>
      <c r="K10" s="27"/>
      <c r="L10" s="27"/>
      <c r="M10" s="27"/>
    </row>
    <row r="11" spans="1:13" ht="14.5">
      <c r="A11" s="2" t="s">
        <v>143</v>
      </c>
      <c r="B11" s="3">
        <v>2.5101</v>
      </c>
      <c r="C11" s="3">
        <v>2.8799000000000001</v>
      </c>
      <c r="D11" s="21">
        <f t="shared" si="0"/>
        <v>0.36980000000000013</v>
      </c>
      <c r="E11" s="27"/>
      <c r="F11" s="27"/>
      <c r="G11" s="27"/>
      <c r="H11" s="27"/>
      <c r="I11" s="27"/>
      <c r="J11" s="27"/>
      <c r="K11" s="27"/>
      <c r="L11" s="27"/>
      <c r="M11" s="27"/>
    </row>
    <row r="12" spans="1:13" ht="14.5">
      <c r="A12" s="2" t="s">
        <v>144</v>
      </c>
      <c r="B12" s="22">
        <v>1000</v>
      </c>
      <c r="C12" s="22">
        <v>5000</v>
      </c>
      <c r="D12" s="23">
        <f t="shared" si="0"/>
        <v>4000</v>
      </c>
      <c r="E12" s="27"/>
      <c r="F12" s="27"/>
      <c r="G12" s="27"/>
      <c r="H12" s="27"/>
      <c r="I12" s="27"/>
      <c r="J12" s="27"/>
      <c r="K12" s="27"/>
      <c r="L12" s="27"/>
      <c r="M12" s="27"/>
    </row>
    <row r="13" spans="1:13" ht="14.5">
      <c r="A13" s="2" t="s">
        <v>145</v>
      </c>
      <c r="B13" s="22">
        <v>25</v>
      </c>
      <c r="C13" s="22">
        <v>90</v>
      </c>
      <c r="D13" s="23"/>
      <c r="E13" s="27"/>
      <c r="F13" s="27"/>
      <c r="G13" s="27"/>
      <c r="H13" s="27"/>
      <c r="I13" s="27"/>
      <c r="J13" s="27"/>
      <c r="K13" s="27"/>
      <c r="L13" s="27"/>
      <c r="M13" s="27"/>
    </row>
    <row r="14" spans="1:13" ht="14.5">
      <c r="A14" s="2" t="s">
        <v>146</v>
      </c>
      <c r="B14" s="2"/>
      <c r="C14" s="9">
        <f>'02_RTP计算'!G30</f>
        <v>2.6611875E-2</v>
      </c>
      <c r="D14" s="2"/>
      <c r="E14" s="27"/>
      <c r="F14" s="27"/>
      <c r="G14" s="27"/>
      <c r="H14" s="27"/>
      <c r="I14" s="27"/>
      <c r="J14" s="27"/>
      <c r="K14" s="27"/>
      <c r="L14" s="27"/>
      <c r="M14" s="27"/>
    </row>
    <row r="15" spans="1:13" ht="14.5">
      <c r="A15" s="2" t="s">
        <v>147</v>
      </c>
      <c r="B15" s="2"/>
      <c r="C15" s="9">
        <f>'02_RTP计算'!G31</f>
        <v>1.1981249999999999E-2</v>
      </c>
      <c r="D15" s="2"/>
      <c r="E15" s="27"/>
      <c r="F15" s="27"/>
      <c r="G15" s="27"/>
      <c r="H15" s="27"/>
      <c r="I15" s="27"/>
      <c r="J15" s="27"/>
      <c r="K15" s="27"/>
      <c r="L15" s="27"/>
      <c r="M15" s="27"/>
    </row>
    <row r="16" spans="1:13" ht="14.5">
      <c r="A16" s="2" t="s">
        <v>114</v>
      </c>
      <c r="B16" s="2"/>
      <c r="C16" s="5">
        <f>'02_RTP计算'!B51</f>
        <v>0.90537142857142849</v>
      </c>
      <c r="D16" s="2"/>
      <c r="E16" s="27"/>
      <c r="F16" s="27"/>
      <c r="G16" s="27"/>
      <c r="H16" s="27"/>
      <c r="I16" s="27"/>
      <c r="J16" s="27"/>
      <c r="K16" s="27"/>
      <c r="L16" s="27"/>
      <c r="M16" s="27"/>
    </row>
    <row r="17" spans="1:13" ht="14.5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</row>
    <row r="18" spans="1:13" ht="14.5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</row>
    <row r="19" spans="1:13" ht="16.5">
      <c r="A19" s="29" t="s">
        <v>148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</row>
    <row r="20" spans="1:13" ht="32" customHeight="1">
      <c r="A20" s="1" t="s">
        <v>149</v>
      </c>
      <c r="B20" s="1" t="s">
        <v>4</v>
      </c>
      <c r="C20" s="1" t="s">
        <v>5</v>
      </c>
      <c r="D20" s="33" t="s">
        <v>150</v>
      </c>
      <c r="E20" s="33"/>
      <c r="F20" s="27"/>
      <c r="G20" s="27"/>
      <c r="H20" s="27"/>
      <c r="I20" s="27"/>
      <c r="J20" s="27"/>
      <c r="K20" s="27"/>
      <c r="L20" s="27"/>
      <c r="M20" s="27"/>
    </row>
    <row r="21" spans="1:13" ht="14.5">
      <c r="A21" s="4" t="s">
        <v>151</v>
      </c>
      <c r="B21" s="4" t="s">
        <v>152</v>
      </c>
      <c r="C21" s="4" t="s">
        <v>153</v>
      </c>
      <c r="D21" s="34" t="s">
        <v>154</v>
      </c>
      <c r="E21" s="34"/>
      <c r="F21" s="27"/>
      <c r="G21" s="27"/>
      <c r="H21" s="27"/>
      <c r="I21" s="27"/>
      <c r="J21" s="27"/>
      <c r="K21" s="27"/>
      <c r="L21" s="27"/>
      <c r="M21" s="27"/>
    </row>
    <row r="22" spans="1:13" ht="14.5">
      <c r="A22" s="4" t="s">
        <v>155</v>
      </c>
      <c r="B22" s="4" t="s">
        <v>156</v>
      </c>
      <c r="C22" s="4" t="s">
        <v>157</v>
      </c>
      <c r="D22" s="34" t="s">
        <v>158</v>
      </c>
      <c r="E22" s="34"/>
      <c r="F22" s="27"/>
      <c r="G22" s="27"/>
      <c r="H22" s="27"/>
      <c r="I22" s="27"/>
      <c r="J22" s="27"/>
      <c r="K22" s="27"/>
      <c r="L22" s="27"/>
      <c r="M22" s="27"/>
    </row>
    <row r="23" spans="1:13" ht="14.5">
      <c r="A23" s="4" t="s">
        <v>159</v>
      </c>
      <c r="B23" s="4" t="s">
        <v>156</v>
      </c>
      <c r="C23" s="4" t="s">
        <v>160</v>
      </c>
      <c r="D23" s="34" t="s">
        <v>161</v>
      </c>
      <c r="E23" s="34"/>
      <c r="F23" s="27"/>
      <c r="G23" s="27"/>
      <c r="H23" s="27"/>
      <c r="I23" s="27"/>
      <c r="J23" s="27"/>
      <c r="K23" s="27"/>
      <c r="L23" s="27"/>
      <c r="M23" s="27"/>
    </row>
    <row r="24" spans="1:13" ht="14.5">
      <c r="A24" s="4" t="s">
        <v>162</v>
      </c>
      <c r="B24" s="4" t="s">
        <v>163</v>
      </c>
      <c r="C24" s="4" t="s">
        <v>164</v>
      </c>
      <c r="D24" s="34" t="s">
        <v>165</v>
      </c>
      <c r="E24" s="34"/>
      <c r="F24" s="27"/>
      <c r="G24" s="27"/>
      <c r="H24" s="27"/>
      <c r="I24" s="27"/>
      <c r="J24" s="27"/>
      <c r="K24" s="27"/>
      <c r="L24" s="27"/>
      <c r="M24" s="27"/>
    </row>
    <row r="25" spans="1:13" ht="14.5">
      <c r="A25" s="4" t="s">
        <v>166</v>
      </c>
      <c r="B25" s="4" t="s">
        <v>167</v>
      </c>
      <c r="C25" s="4" t="s">
        <v>168</v>
      </c>
      <c r="D25" s="34" t="s">
        <v>169</v>
      </c>
      <c r="E25" s="34"/>
      <c r="F25" s="27"/>
      <c r="G25" s="27"/>
      <c r="H25" s="27"/>
      <c r="I25" s="27"/>
      <c r="J25" s="27"/>
      <c r="K25" s="27"/>
      <c r="L25" s="27"/>
      <c r="M25" s="27"/>
    </row>
    <row r="26" spans="1:13" ht="14.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</row>
    <row r="27" spans="1:13" ht="14.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</row>
    <row r="28" spans="1:13" ht="16.5">
      <c r="A28" s="29" t="s">
        <v>170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</row>
    <row r="29" spans="1:13" ht="34" customHeight="1">
      <c r="A29" s="32" t="s">
        <v>171</v>
      </c>
      <c r="B29" s="37" t="s">
        <v>172</v>
      </c>
      <c r="C29" s="37"/>
      <c r="D29" s="37"/>
      <c r="E29" s="37"/>
      <c r="F29" s="27"/>
      <c r="G29" s="27"/>
      <c r="H29" s="27"/>
      <c r="I29" s="27"/>
      <c r="J29" s="27"/>
      <c r="K29" s="27"/>
      <c r="L29" s="27"/>
      <c r="M29" s="27"/>
    </row>
    <row r="30" spans="1:13" ht="34" customHeight="1">
      <c r="A30" s="32" t="s">
        <v>173</v>
      </c>
      <c r="B30" s="37" t="s">
        <v>174</v>
      </c>
      <c r="C30" s="37"/>
      <c r="D30" s="37"/>
      <c r="E30" s="37"/>
      <c r="F30" s="27"/>
      <c r="G30" s="27"/>
      <c r="H30" s="27"/>
      <c r="I30" s="27"/>
      <c r="J30" s="27"/>
      <c r="K30" s="27"/>
      <c r="L30" s="27"/>
      <c r="M30" s="27"/>
    </row>
    <row r="31" spans="1:13" ht="34" customHeight="1">
      <c r="A31" s="32" t="s">
        <v>123</v>
      </c>
      <c r="B31" s="37" t="s">
        <v>175</v>
      </c>
      <c r="C31" s="37"/>
      <c r="D31" s="37"/>
      <c r="E31" s="37"/>
      <c r="F31" s="27"/>
      <c r="G31" s="27"/>
      <c r="H31" s="27"/>
      <c r="I31" s="27"/>
      <c r="J31" s="27"/>
      <c r="K31" s="27"/>
      <c r="L31" s="27"/>
      <c r="M31" s="27"/>
    </row>
    <row r="32" spans="1:13" ht="34" customHeight="1">
      <c r="A32" s="32" t="s">
        <v>166</v>
      </c>
      <c r="B32" s="37" t="s">
        <v>176</v>
      </c>
      <c r="C32" s="37"/>
      <c r="D32" s="37"/>
      <c r="E32" s="37"/>
      <c r="F32" s="27"/>
      <c r="G32" s="27"/>
      <c r="H32" s="27"/>
      <c r="I32" s="27"/>
      <c r="J32" s="27"/>
      <c r="K32" s="27"/>
      <c r="L32" s="27"/>
      <c r="M32" s="27"/>
    </row>
    <row r="33" spans="1:13" ht="14.5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</row>
    <row r="34" spans="1:13" ht="14.5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</row>
    <row r="35" spans="1:13" ht="14.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</row>
    <row r="36" spans="1:13" ht="14.5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</row>
    <row r="37" spans="1:13" ht="14.5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</row>
    <row r="38" spans="1:13" ht="14.5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</row>
    <row r="39" spans="1:13" ht="14.5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</row>
    <row r="40" spans="1:13" ht="14.5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</row>
    <row r="41" spans="1:13" ht="14.5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</row>
    <row r="42" spans="1:13" ht="14.5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</row>
    <row r="43" spans="1:13" ht="14.5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</row>
    <row r="44" spans="1:13" ht="14.5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</row>
    <row r="45" spans="1:13" ht="14.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</row>
    <row r="46" spans="1:13" ht="14.5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</row>
    <row r="47" spans="1:13" ht="14.5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</row>
    <row r="48" spans="1:13" ht="14.5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</row>
    <row r="49" spans="1:13" ht="14.5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</row>
    <row r="50" spans="1:13" ht="14.5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</row>
    <row r="51" spans="1:13" ht="14.5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</row>
    <row r="52" spans="1:13" ht="14.5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</row>
    <row r="53" spans="1:13" ht="14.5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</row>
    <row r="54" spans="1:13" ht="14.5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</row>
    <row r="55" spans="1:13" ht="14.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</row>
    <row r="56" spans="1:13" ht="14.5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</row>
    <row r="57" spans="1:13" ht="14.5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</row>
    <row r="58" spans="1:13" ht="14.5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</row>
    <row r="59" spans="1:13" ht="14.5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</row>
    <row r="60" spans="1:13" ht="14.5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</row>
    <row r="61" spans="1:13" ht="14.5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</row>
    <row r="62" spans="1:13" ht="14.5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</row>
    <row r="63" spans="1:13" ht="14.5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</row>
    <row r="64" spans="1:13" ht="14.5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</row>
    <row r="65" spans="1:13" ht="14.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</row>
    <row r="66" spans="1:13" ht="14.5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</row>
    <row r="67" spans="1:13" ht="14.5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</row>
    <row r="68" spans="1:13" ht="14.5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</row>
    <row r="69" spans="1:13" ht="14.5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</row>
    <row r="70" spans="1:13" ht="14.5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</row>
  </sheetData>
  <mergeCells count="10">
    <mergeCell ref="D25:E25"/>
    <mergeCell ref="B29:E29"/>
    <mergeCell ref="B30:E30"/>
    <mergeCell ref="B31:E31"/>
    <mergeCell ref="B32:E32"/>
    <mergeCell ref="D20:E20"/>
    <mergeCell ref="D21:E21"/>
    <mergeCell ref="D22:E22"/>
    <mergeCell ref="D23:E23"/>
    <mergeCell ref="D24:E24"/>
  </mergeCells>
  <phoneticPr fontId="1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01_ParSheet</vt:lpstr>
      <vt:lpstr>02_RTP计算</vt:lpstr>
      <vt:lpstr>03_结果对比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富深 许</cp:lastModifiedBy>
  <dcterms:modified xsi:type="dcterms:W3CDTF">2026-10-24T14:53:25Z</dcterms:modified>
</cp:coreProperties>
</file>